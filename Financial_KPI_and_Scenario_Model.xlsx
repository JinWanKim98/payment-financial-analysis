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industry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5c582f8d54d34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Scenario" sheetId="1" ns1:id="Rce0e492e79654dbc"/>
    <ns0:sheet name="Historical KPIs" sheetId="2" ns1:id="R99c2dc584c3a425d"/>
    <ns0:sheet name="Actuals" sheetId="3" ns1:id="R17c0e5df20dd4a6e"/>
    <ns0:sheet name="Industry" sheetId="4" ns1:id="rIndustry"/>
  </ns0:sheets>
</ns0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13">
    <ns0:numFmt numFmtId="200" formatCode="yyyy-mm-dd"/>
    <ns0:numFmt numFmtId="201" formatCode="#,##0;(#,##0);&quot;-&quot;"/>
    <ns0:numFmt numFmtId="202" formatCode="#,##0.0;(#,##0.0);&quot;-&quot;"/>
    <ns0:numFmt numFmtId="203" formatCode="0.0%;(0.0%);&quot;-&quot;"/>
    <ns0:numFmt numFmtId="204" formatCode="0.00&quot;x&quot;"/>
    <ns0:numFmt numFmtId="205" formatCode="0.00&quot; pp&quot;; (0.00&quot; pp&quot;);&quot;-&quot;"/>
    <ns0:numFmt numFmtId="206" formatCode="0.00;(0.00);0.00"/>
    <ns0:numFmt numFmtId="207" formatCode="0.00"/>
    <ns0:numFmt numFmtId="208" formatCode=";;;"/>
    <ns0:numFmt numFmtId="209" formatCode="yyyy-mm-dd"/>
    <ns0:numFmt numFmtId="210" formatCode="#,##0;(#,##0);–"/>
    <ns0:numFmt numFmtId="211" formatCode="0.0%;(0.0%);–"/>
    <ns0:numFmt numFmtId="212" formatCode="#,##0"/>
  </ns0:numFmts>
  <ns0:fonts count="23">
    <ns0:font>
      <ns0:sz val="11"/>
      <ns0:name val="Carlito"/>
    </ns0:font>
    <ns0:font>
      <ns0:sz val="10"/>
      <ns0:color rgb="FF20324A"/>
      <ns0:name val="Arial"/>
    </ns0:font>
    <ns0:font>
      <ns0:b/>
      <ns0:sz val="15"/>
      <ns0:color rgb="FF20324A"/>
      <ns0:name val="Arial"/>
    </ns0:font>
    <ns0:font>
      <ns0:b/>
      <ns0:sz val="10"/>
      <ns0:color rgb="FFFFFFFF"/>
      <ns0:name val="Arial"/>
    </ns0:font>
    <ns0:font>
      <ns0:sz val="10"/>
      <ns0:color rgb="FF0000CC"/>
      <ns0:name val="Arial"/>
    </ns0:font>
    <ns0:font>
      <ns0:b/>
      <ns0:sz val="10"/>
      <ns0:color rgb="FF20324A"/>
      <ns0:name val="Arial"/>
    </ns0:font>
    <ns0:font>
      <ns0:i/>
      <ns0:sz val="10"/>
      <ns0:color rgb="FF596879"/>
      <ns0:name val="Arial"/>
    </ns0:font>
    <ns0:font>
      <ns0:sz val="10"/>
      <ns0:color rgb="FF008000"/>
      <ns0:name val="Arial"/>
    </ns0:font>
    <ns0:font>
      <ns0:sz val="10"/>
      <ns0:color rgb="FF008000"/>
      <ns0:name val="Arial"/>
    </ns0:font>
    <ns0:font>
      <ns0:i/>
      <ns0:sz val="10"/>
      <ns0:color rgb="FF000000"/>
      <ns0:name val="Arial"/>
    </ns0:font>
    <ns0:font>
      <ns0:i/>
      <ns0:sz val="10"/>
      <ns0:color rgb="FF20324A"/>
      <ns0:name val="Arial"/>
    </ns0:font>
    <ns0:font>
      <ns0:i/>
      <ns0:sz val="10"/>
      <ns0:color rgb="FF008000"/>
      <ns0:name val="Arial"/>
    </ns0:font>
    <ns0:font>
      <ns0:sz val="10"/>
      <ns0:color rgb="FF000000"/>
      <ns0:name val="Arial"/>
    </ns0:font>
    <ns0:font>
      <ns0:b/>
      <ns0:sz val="10"/>
      <ns0:color rgb="FF0000CC"/>
      <ns0:name val="Arial"/>
    </ns0:font>
    <ns0:font>
      <ns0:b/>
      <ns0:sz val="10"/>
      <ns0:color rgb="FF008000"/>
      <ns0:name val="Arial"/>
    </ns0:font>
    <ns0:font>
      <ns0:b/>
      <ns0:sz val="10"/>
      <ns0:color rgb="FF000000"/>
      <ns0:name val="Arial"/>
    </ns0:font>
    <ns0:font>
      <ns0:sz val="10"/>
      <ns0:color rgb="FF000000"/>
      <ns0:name val="Arial"/>
    </ns0:font>
    <ns0:font>
      <ns0:sz val="11"/>
      <ns0:name val="Carlito"/>
    </ns0:font>
    <ns0:font>
      <ns0:sz val="10"/>
      <ns0:name val="Arial"/>
    </ns0:font>
    <ns0:font>
      <ns0:b/>
      <ns0:sz val="14"/>
      <ns0:name val="Arial"/>
    </ns0:font>
    <ns0:font>
      <ns0:b/>
      <ns0:sz val="10"/>
      <ns0:color rgb="FFFFFFFF"/>
      <ns0:name val="Arial"/>
    </ns0:font>
    <ns0:font>
      <ns0:sz val="10"/>
      <ns0:color rgb="FF0000FF"/>
      <ns0:name val="Arial"/>
    </ns0:font>
    <ns0:font>
      <ns0:sz val="10"/>
      <ns0:color rgb="FF000000"/>
      <ns0:name val="Arial"/>
    </ns0:font>
  </ns0:fonts>
  <ns0:fills count="10">
    <ns0:fill>
      <ns0:patternFill patternType="none"/>
    </ns0:fill>
    <ns0:fill>
      <ns0:patternFill patternType="gray125"/>
    </ns0:fill>
    <ns0:fill>
      <ns0:patternFill patternType="solid">
        <ns0:fgColor rgb="FF203E62"/>
      </ns0:patternFill>
    </ns0:fill>
    <ns0:fill>
      <ns0:patternFill patternType="solid">
        <ns0:fgColor rgb="FFE6EBF1"/>
      </ns0:patternFill>
    </ns0:fill>
    <ns0:fill>
      <ns0:patternFill patternType="solid">
        <ns0:fgColor rgb="FFFFF0BB"/>
      </ns0:patternFill>
    </ns0:fill>
    <ns0:fill>
      <ns0:patternFill patternType="solid">
        <ns0:fgColor rgb="FFE5EBF2"/>
      </ns0:patternFill>
    </ns0:fill>
    <ns0:fill>
      <ns0:patternFill patternType="solid">
        <ns0:fgColor rgb="FFEEF1F5"/>
      </ns0:patternFill>
    </ns0:fill>
    <ns0:fill>
      <ns0:patternFill patternType="none"/>
    </ns0:fill>
    <ns0:fill>
      <ns0:patternFill patternType="gray125"/>
    </ns0:fill>
    <ns0:fill>
      <ns0:patternFill patternType="solid">
        <ns0:fgColor rgb="FF20364D"/>
      </ns0:patternFill>
    </ns0:fill>
  </ns0:fills>
  <ns0:borders count="5">
    <ns0:border>
      <ns0:left/>
      <ns0:right/>
      <ns0:top/>
      <ns0:bottom/>
      <ns0:diagonal/>
    </ns0:border>
    <ns0:border>
      <ns0:left/>
      <ns0:right/>
      <ns0:top/>
      <ns0:bottom style="thin">
        <ns0:color rgb="FF203E62"/>
      </ns0:bottom>
      <ns0:diagonal/>
    </ns0:border>
    <ns0:border>
      <ns0:left/>
      <ns0:right/>
      <ns0:top/>
      <ns0:bottom style="thin">
        <ns0:color rgb="FFC7D1DC"/>
      </ns0:bottom>
      <ns0:diagonal/>
    </ns0:border>
    <ns0:border>
      <ns0:left style="dotted">
        <ns0:color rgb="FF203E62"/>
      </ns0:left>
      <ns0:right style="dotted">
        <ns0:color rgb="FF203E62"/>
      </ns0:right>
      <ns0:top style="dotted">
        <ns0:color rgb="FF203E62"/>
      </ns0:top>
      <ns0:bottom style="dotted">
        <ns0:color rgb="FF203E62"/>
      </ns0:bottom>
      <ns0:diagonal/>
    </ns0:border>
    <ns0:border>
      <ns0:left/>
      <ns0:right/>
      <ns0:top/>
      <ns0:bottom/>
      <ns0:diagonal/>
    </ns0:border>
  </ns0:borders>
  <ns0:cellStyleXfs count="2">
    <ns0:xf numFmtId="0" fontId="0" fillId="0" borderId="0"/>
    <ns0:xf numFmtId="0" fontId="17" fillId="7" borderId="4"/>
  </ns0:cellStyleXfs>
  <ns0:cellXfs count="69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vertical="center"/>
    </ns0:xf>
    <ns0:xf numFmtId="0" fontId="3" fillId="2" borderId="0" xfId="0" applyNumberFormat="1" applyFont="1" applyFill="1" applyBorder="1" applyAlignment="1">
      <ns0:alignment horizontal="center" vertical="center"/>
    </ns0:xf>
    <ns0:xf numFmtId="200" fontId="1" fillId="0" borderId="0" xfId="0" applyNumberFormat="1" applyFont="1" applyFill="1" applyBorder="1" applyAlignment="1">
      <ns0:alignment vertical="center"/>
    </ns0:xf>
    <ns0:xf numFmtId="0" fontId="4" fillId="0" borderId="0" xfId="0" applyNumberFormat="1" applyFont="1" applyFill="1" applyBorder="1" applyAlignment="1">
      <ns0:alignment vertical="center"/>
    </ns0:xf>
    <ns0:xf numFmtId="201" fontId="4" fillId="0" borderId="0" xfId="0" applyNumberFormat="1" applyFont="1" applyFill="1" applyBorder="1" applyAlignment="1">
      <ns0:alignment vertical="center"/>
    </ns0:xf>
    <ns0:xf numFmtId="201" fontId="4" fillId="0" borderId="0" xfId="0" applyNumberFormat="1" applyFont="1" applyFill="1" applyBorder="1" applyAlignment="1">
      <ns0:alignment horizontal="right" vertical="center"/>
    </ns0:xf>
    <ns0:xf numFmtId="0" fontId="5" fillId="0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0" fontId="6" fillId="0" borderId="1" xfId="0" applyNumberFormat="1" applyFont="1" applyFill="1" applyBorder="1" applyAlignment="1">
      <ns0:alignment vertical="center"/>
    </ns0:xf>
    <ns0:xf numFmtId="0" fontId="7" fillId="0" borderId="0" xfId="0" applyNumberFormat="1" applyFont="1" applyFill="1" applyBorder="1" applyAlignment="1">
      <ns0:alignment vertical="center"/>
    </ns0:xf>
    <ns0:xf numFmtId="0" fontId="1" fillId="3" borderId="0" xfId="0" applyNumberFormat="1" applyFont="1" applyFill="1" applyBorder="1" applyAlignment="1">
      <ns0:alignment vertical="center"/>
    </ns0:xf>
    <ns0:xf numFmtId="0" fontId="5" fillId="3" borderId="0" xfId="0" applyNumberFormat="1" applyFont="1" applyFill="1" applyBorder="1" applyAlignment="1">
      <ns0:alignment vertical="center"/>
    </ns0:xf>
    <ns0:xf numFmtId="0" fontId="5" fillId="3" borderId="2" xfId="0" applyNumberFormat="1" applyFont="1" applyFill="1" applyBorder="1" applyAlignment="1">
      <ns0:alignment vertical="center"/>
    </ns0:xf>
    <ns0:xf numFmtId="0" fontId="8" fillId="0" borderId="0" xfId="0" applyNumberFormat="1" applyFont="1" applyFill="1" applyBorder="1" applyAlignment="1">
      <ns0:alignment vertical="center"/>
    </ns0:xf>
    <ns0:xf numFmtId="202" fontId="8" fillId="0" borderId="0" xfId="0" applyNumberFormat="1" applyFont="1" applyFill="1" applyBorder="1" applyAlignment="1">
      <ns0:alignment vertical="center"/>
    </ns0:xf>
    <ns0:xf numFmtId="0" fontId="9" fillId="0" borderId="0" xfId="0" applyNumberFormat="1" applyFont="1" applyFill="1" applyBorder="1" applyAlignment="1">
      <ns0:alignment vertical="center"/>
    </ns0:xf>
    <ns0:xf numFmtId="203" fontId="9" fillId="0" borderId="0" xfId="0" applyNumberFormat="1" applyFont="1" applyFill="1" applyBorder="1" applyAlignment="1">
      <ns0:alignment vertical="center"/>
    </ns0:xf>
    <ns0:xf numFmtId="0" fontId="10" fillId="0" borderId="0" xfId="0" applyNumberFormat="1" applyFont="1" applyFill="1" applyBorder="1" applyAlignment="1">
      <ns0:alignment vertical="center"/>
    </ns0:xf>
    <ns0:xf numFmtId="204" fontId="9" fillId="0" borderId="0" xfId="0" applyNumberFormat="1" applyFont="1" applyFill="1" applyBorder="1" applyAlignment="1">
      <ns0:alignment vertical="center"/>
    </ns0:xf>
    <ns0:xf numFmtId="205" fontId="9" fillId="0" borderId="0" xfId="0" applyNumberFormat="1" applyFont="1" applyFill="1" applyBorder="1" applyAlignment="1">
      <ns0:alignment vertical="center"/>
    </ns0:xf>
    <ns0:xf numFmtId="0" fontId="11" fillId="0" borderId="0" xfId="0" applyNumberFormat="1" applyFont="1" applyFill="1" applyBorder="1" applyAlignment="1">
      <ns0:alignment vertical="center"/>
    </ns0:xf>
    <ns0:xf numFmtId="203" fontId="11" fillId="0" borderId="0" xfId="0" applyNumberFormat="1" applyFont="1" applyFill="1" applyBorder="1" applyAlignment="1">
      <ns0:alignment vertical="center"/>
    </ns0:xf>
    <ns0:xf numFmtId="0" fontId="12" fillId="0" borderId="0" xfId="0" applyNumberFormat="1" applyFont="1" applyFill="1" applyBorder="1" applyAlignment="1">
      <ns0:alignment vertical="center"/>
    </ns0:xf>
    <ns0:xf numFmtId="202" fontId="12" fillId="0" borderId="0" xfId="0" applyNumberFormat="1" applyFont="1" applyFill="1" applyBorder="1" applyAlignment="1">
      <ns0:alignment vertical="center"/>
    </ns0:xf>
    <ns0:xf numFmtId="0" fontId="1" fillId="4" borderId="0" xfId="0" applyNumberFormat="1" applyFont="1" applyFill="1" applyBorder="1" applyAlignment="1">
      <ns0:alignment vertical="center"/>
    </ns0:xf>
    <ns0:xf numFmtId="0" fontId="13" fillId="4" borderId="0" xfId="0" applyNumberFormat="1" applyFont="1" applyFill="1" applyBorder="1" applyAlignment="1">
      <ns0:alignment vertical="center"/>
    </ns0:xf>
    <ns0:xf numFmtId="0" fontId="13" fillId="4" borderId="3" xfId="0" applyNumberFormat="1" applyFont="1" applyFill="1" applyBorder="1" applyAlignment="1">
      <ns0:alignment vertical="center"/>
    </ns0:xf>
    <ns0:xf numFmtId="0" fontId="13" fillId="4" borderId="3" xfId="0" applyNumberFormat="1" applyFont="1" applyFill="1" applyBorder="1" applyAlignment="1">
      <ns0:alignment horizontal="center" vertical="center"/>
    </ns0:xf>
    <ns0:xf numFmtId="0" fontId="14" fillId="0" borderId="0" xfId="0" applyNumberFormat="1" applyFont="1" applyFill="1" applyBorder="1" applyAlignment="1">
      <ns0:alignment vertical="center"/>
    </ns0:xf>
    <ns0:xf numFmtId="0" fontId="14" fillId="0" borderId="0" xfId="0" applyNumberFormat="1" applyFont="1" applyFill="1" applyBorder="1" applyAlignment="1">
      <ns0:alignment horizontal="center" vertical="center"/>
    </ns0:xf>
    <ns0:xf numFmtId="0" fontId="6" fillId="0" borderId="0" xfId="0" applyNumberFormat="1" applyFont="1" applyFill="1" applyBorder="1" applyAlignment="1">
      <ns0:alignment vertical="center"/>
    </ns0:xf>
    <ns0:xf numFmtId="202" fontId="1" fillId="0" borderId="0" xfId="0" applyNumberFormat="1" applyFont="1" applyFill="1" applyBorder="1" applyAlignment="1">
      <ns0:alignment vertical="center"/>
    </ns0:xf>
    <ns0:xf numFmtId="202" fontId="10" fillId="0" borderId="0" xfId="0" applyNumberFormat="1" applyFont="1" applyFill="1" applyBorder="1" applyAlignment="1">
      <ns0:alignment vertical="center"/>
    </ns0:xf>
    <ns0:xf numFmtId="203" fontId="10" fillId="0" borderId="0" xfId="0" applyNumberFormat="1" applyFont="1" applyFill="1" applyBorder="1" applyAlignment="1">
      <ns0:alignment vertical="center"/>
    </ns0:xf>
    <ns0:xf numFmtId="0" fontId="4" fillId="4" borderId="0" xfId="0" applyNumberFormat="1" applyFont="1" applyFill="1" applyBorder="1" applyAlignment="1">
      <ns0:alignment vertical="center"/>
    </ns0:xf>
    <ns0:xf numFmtId="203" fontId="4" fillId="4" borderId="0" xfId="0" applyNumberFormat="1" applyFont="1" applyFill="1" applyBorder="1" applyAlignment="1">
      <ns0:alignment vertical="center"/>
    </ns0:xf>
    <ns0:xf numFmtId="0" fontId="1" fillId="5" borderId="0" xfId="0" applyNumberFormat="1" applyFont="1" applyFill="1" applyBorder="1" applyAlignment="1">
      <ns0:alignment vertical="center"/>
    </ns0:xf>
    <ns0:xf numFmtId="0" fontId="15" fillId="5" borderId="0" xfId="0" applyNumberFormat="1" applyFont="1" applyFill="1" applyBorder="1" applyAlignment="1">
      <ns0:alignment vertical="center"/>
    </ns0:xf>
    <ns0:xf numFmtId="203" fontId="15" fillId="5" borderId="0" xfId="0" applyNumberFormat="1" applyFont="1" applyFill="1" applyBorder="1" applyAlignment="1">
      <ns0:alignment vertical="center"/>
    </ns0:xf>
    <ns0:xf numFmtId="0" fontId="16" fillId="0" borderId="0" xfId="0" applyNumberFormat="1" applyFont="1" applyFill="1" applyBorder="1" applyAlignment="1">
      <ns0:alignment vertical="center"/>
    </ns0:xf>
    <ns0:xf numFmtId="202" fontId="16" fillId="0" borderId="0" xfId="0" applyNumberFormat="1" applyFont="1" applyFill="1" applyBorder="1" applyAlignment="1">
      <ns0:alignment vertical="center"/>
    </ns0:xf>
    <ns0:xf numFmtId="202" fontId="7" fillId="0" borderId="0" xfId="0" applyNumberFormat="1" applyFont="1" applyFill="1" applyBorder="1" applyAlignment="1">
      <ns0:alignment vertical="center"/>
    </ns0:xf>
    <ns0:xf numFmtId="202" fontId="9" fillId="0" borderId="0" xfId="0" applyNumberFormat="1" applyFont="1" applyFill="1" applyBorder="1" applyAlignment="1">
      <ns0:alignment vertical="center"/>
    </ns0:xf>
    <ns0:xf numFmtId="206" fontId="16" fillId="0" borderId="0" xfId="0" applyNumberFormat="1" applyFont="1" applyFill="1" applyBorder="1" applyAlignment="1">
      <ns0:alignment vertical="center"/>
    </ns0:xf>
    <ns0:xf numFmtId="207" fontId="16" fillId="0" borderId="0" xfId="0" applyNumberFormat="1" applyFont="1" applyFill="1" applyBorder="1" applyAlignment="1">
      <ns0:alignment vertical="center"/>
    </ns0:xf>
    <ns0:xf numFmtId="208" fontId="1" fillId="0" borderId="0" xfId="0" applyNumberFormat="1" applyFont="1" applyFill="1" applyBorder="1" applyAlignment="1">
      <ns0:alignment vertical="center"/>
    </ns0:xf>
    <ns0:xf numFmtId="0" fontId="5" fillId="5" borderId="0" xfId="0" applyNumberFormat="1" applyFont="1" applyFill="1" applyBorder="1" applyAlignment="1">
      <ns0:alignment vertical="center"/>
    </ns0:xf>
    <ns0:xf numFmtId="203" fontId="5" fillId="5" borderId="0" xfId="0" applyNumberFormat="1" applyFont="1" applyFill="1" applyBorder="1" applyAlignment="1">
      <ns0:alignment vertical="center"/>
    </ns0:xf>
    <ns0:xf numFmtId="203" fontId="5" fillId="5" borderId="0" xfId="0" applyNumberFormat="1" applyFont="1" applyFill="1" applyBorder="1" applyAlignment="1">
      <ns0:alignment horizontal="center" vertical="center"/>
    </ns0:xf>
    <ns0:xf numFmtId="202" fontId="1" fillId="0" borderId="0" xfId="0" applyNumberFormat="1" applyFont="1" applyFill="1" applyBorder="1" applyAlignment="1">
      <ns0:alignment horizontal="right" vertical="center"/>
    </ns0:xf>
    <ns0:xf numFmtId="202" fontId="1" fillId="6" borderId="0" xfId="0" applyNumberFormat="1" applyFont="1" applyFill="1" applyBorder="1" applyAlignment="1">
      <ns0:alignment horizontal="right" vertical="center"/>
    </ns0:xf>
    <ns0:xf numFmtId="0" fontId="17" fillId="7" borderId="4" xfId="1"/>
    <ns0:xf numFmtId="0" fontId="18" fillId="7" borderId="4" xfId="1" applyNumberFormat="1" applyFont="1" applyFill="1" applyBorder="1"/>
    <ns0:xf numFmtId="0" fontId="19" fillId="7" borderId="4" xfId="1" applyNumberFormat="1" applyFont="1" applyFill="1" applyBorder="1"/>
    <ns0:xf numFmtId="0" fontId="18" fillId="9" borderId="4" xfId="1" applyNumberFormat="1" applyFont="1" applyFill="1" applyBorder="1"/>
    <ns0:xf numFmtId="0" fontId="20" fillId="9" borderId="4" xfId="1" applyNumberFormat="1" applyFont="1" applyFill="1" applyBorder="1"/>
    <ns0:xf numFmtId="0" fontId="20" fillId="9" borderId="4" xfId="1" applyNumberFormat="1" applyFont="1" applyFill="1" applyBorder="1" applyAlignment="1">
      <ns0:alignment wrapText="1"/>
    </ns0:xf>
    <ns0:xf numFmtId="209" fontId="18" fillId="7" borderId="4" xfId="1" applyNumberFormat="1" applyFont="1" applyFill="1" applyBorder="1"/>
    <ns0:xf numFmtId="210" fontId="18" fillId="7" borderId="4" xfId="1" applyNumberFormat="1" applyFont="1" applyFill="1" applyBorder="1"/>
    <ns0:xf numFmtId="211" fontId="18" fillId="7" borderId="4" xfId="1" applyNumberFormat="1" applyFont="1" applyFill="1" applyBorder="1"/>
    <ns0:xf numFmtId="210" fontId="21" fillId="7" borderId="4" xfId="1" applyNumberFormat="1" applyFont="1" applyFill="1" applyBorder="1"/>
    <ns0:xf numFmtId="211" fontId="22" fillId="7" borderId="4" xfId="1" applyNumberFormat="1" applyFont="1" applyFill="1" applyBorder="1"/>
    <ns0:xf numFmtId="212" fontId="18" fillId="7" borderId="4" xfId="1" applyNumberFormat="1" applyFont="1" applyFill="1" applyBorder="1"/>
    <ns0:xf numFmtId="0" fontId="18" fillId="7" borderId="4" xfId="1" applyNumberFormat="1" applyFont="1" applyFill="1" applyBorder="1" applyAlignment="1">
      <ns0:alignment wrapText="1"/>
    </ns0:xf>
  </ns0:cellXfs>
  <ns0:cellStyles count="1">
    <ns0:cellStyle name="Normal" xfId="0"/>
  </ns0:cellStyles>
  <ns0:dxfs count="5">
    <ns0:dxf>
      <ns0:font>
        <ns0:b/>
        <ns0:color rgb="FF9C2525"/>
      </ns0:font>
      <ns0:fill>
        <ns0:patternFill patternType="solid">
          <ns0:bgColor rgb="FFFCE4E2"/>
        </ns0:patternFill>
      </ns0:fill>
    </ns0:dxf>
    <ns0:dxf>
      <ns0:font>
        <ns0:b/>
        <ns0:color rgb="FF9C2525"/>
      </ns0:font>
      <ns0:fill>
        <ns0:patternFill patternType="solid">
          <ns0:bgColor rgb="FFFCE4E2"/>
        </ns0:patternFill>
      </ns0:fill>
    </ns0:dxf>
    <ns0:dxf>
      <ns0:font>
        <ns0:b/>
        <ns0:color rgb="FF9C2525"/>
      </ns0:font>
      <ns0:fill>
        <ns0:patternFill patternType="solid">
          <ns0:bgColor rgb="FFFCE4E2"/>
        </ns0:patternFill>
      </ns0:fill>
    </ns0:dxf>
    <ns0:dxf>
      <ns0:font>
        <ns0:b/>
        <ns0:color rgb="FF9C2525"/>
      </ns0:font>
      <ns0:fill>
        <ns0:patternFill patternType="solid">
          <ns0:bgColor rgb="FFFCE4E2"/>
        </ns0:patternFill>
      </ns0:fill>
    </ns0:dxf>
    <ns0:dxf>
      <ns0:font>
        <ns0:b/>
        <ns0:color rgb="FF9C2525"/>
      </ns0:font>
      <ns0:fill>
        <ns0:patternFill patternType="solid">
          <ns0:bgColor rgb="FFFCE4E2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8e7650ce67f746a5" /><ns0:Relationship Type="http://schemas.openxmlformats.org/officeDocument/2006/relationships/theme" Target="/xl/theme/theme1.xml" Id="Rf0501a7f05344266" /><ns0:Relationship Type="http://schemas.openxmlformats.org/officeDocument/2006/relationships/sharedStrings" Target="/xl/sharedStrings.xml" Id="R47e5a41211b54c73" /><ns0:Relationship Type="http://schemas.openxmlformats.org/officeDocument/2006/relationships/worksheet" Target="/xl/worksheets/sheet1.xml" Id="Rce0e492e79654dbc" /><ns0:Relationship Type="http://schemas.openxmlformats.org/officeDocument/2006/relationships/worksheet" Target="/xl/worksheets/sheet2.xml" Id="R99c2dc584c3a425d" /><ns0:Relationship Type="http://schemas.openxmlformats.org/officeDocument/2006/relationships/worksheet" Target="/xl/worksheets/sheet3.xml" Id="R17c0e5df20dd4a6e" /><ns0:Relationship Id="rIndustry" Type="http://schemas.openxmlformats.org/officeDocument/2006/relationships/worksheet" Target="worksheets/industry.xml" /></ns0: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0d9fd090674a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Operating income (USD million)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FY2025 actual</c:v>
          </c:tx>
          <c:spPr>
            <a:solidFill xmlns:a="http://schemas.openxmlformats.org/drawingml/2006/main">
              <a:srgbClr val="92A4B8"/>
            </a:solidFill>
          </c:spPr>
          <c:invertIfNegative val="0"/>
          <c:cat>
            <c:strRef>
              <c:f>'Scenario'!$G$9:$G$10</c:f>
              <c:strCache>
                <c:ptCount val="0"/>
              </c:strCache>
            </c:strRef>
          </c:cat>
          <c:val>
            <c:numRef>
              <c:f>'Scenario'!$H$9:$H$10</c:f>
              <c:numCache>
                <c:formatCode>#,##0.0;(#,##0.0);"-"</c:formatCode>
                <c:ptCount val="0"/>
              </c:numCache>
            </c:numRef>
          </c:val>
        </c:ser>
        <c:ser>
          <c:idx val="1"/>
          <c:order val="1"/>
          <c:tx>
            <c:v>Selected scenario</c:v>
          </c:tx>
          <c:spPr>
            <a:solidFill xmlns:a="http://schemas.openxmlformats.org/drawingml/2006/main">
              <a:srgbClr val="375D87"/>
            </a:solidFill>
          </c:spPr>
          <c:invertIfNegative val="0"/>
          <c:cat>
            <c:strRef>
              <c:f>'Scenario'!$G$9:$G$10</c:f>
              <c:strCache>
                <c:ptCount val="0"/>
              </c:strCache>
            </c:strRef>
          </c:cat>
          <c:val>
            <c:numRef>
              <c:f>'Scenario'!$I$9:$I$10</c:f>
              <c:numCache>
                <c:formatCode>#,##0.0;(#,##0.0);"-"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0d9fd090674ad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iewedActuals" displayName="ReviewedActuals" ref="A5:K163" headerRowCount="1" totalsRowCount="0" totalsRowShown="0">
  <x:tableColumns count="11">
    <x:tableColumn id="1" name="Company"/>
    <x:tableColumn id="2" name="Fiscal year"/>
    <x:tableColumn id="3" name="Item"/>
    <x:tableColumn id="4" name="Period start"/>
    <x:tableColumn id="5" name="Period end"/>
    <x:tableColumn id="6" name="Amount (USD)"/>
    <x:tableColumn id="7" name="Unit"/>
    <x:tableColumn id="8" name="IR PDF page"/>
    <x:tableColumn id="9" name="Filing accession"/>
    <x:tableColumn id="10" name="Original source"/>
    <x:tableColumn id="11" name="Lookup key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68a199b2ad14a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743f34a16f14d32" /></Relationships>
</file>

<file path=xl/worksheets/industry.xml><?xml version="1.0" encoding="utf-8"?>
<ns0:worksheet xmlns:ns0="http://schemas.openxmlformats.org/spreadsheetml/2006/main"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6" hidden="0" customWidth="1"/>
    <ns0:col min="2" max="2" width="9" hidden="0" customWidth="1"/>
    <ns0:col min="3" max="3" width="23" hidden="0" customWidth="1"/>
    <ns0:col min="4" max="4" width="21" hidden="0" customWidth="1"/>
    <ns0:col min="5" max="5" width="21" hidden="0" customWidth="1"/>
    <ns0:col min="6" max="6" width="32" hidden="0" customWidth="1"/>
    <ns0:col min="7" max="7" width="18" hidden="0" customWidth="1"/>
    <ns0:col min="8" max="8" width="48" hidden="0" customWidth="1"/>
    <ns0:col min="9" max="9" width="48" hidden="0" customWidth="1"/>
    <ns0:col min="10" max="10" width="65" hidden="0" customWidth="1"/>
  </ns0:cols>
  <ns0:sheetData>
    <ns0:row r="1">
      <ns0:c r="A1" s="57"/>
      <ns0:c r="B1" s="57"/>
      <ns0:c r="C1" s="57"/>
      <ns0:c r="D1" s="57"/>
      <ns0:c r="E1" s="57"/>
      <ns0:c r="F1" s="57"/>
      <ns0:c r="G1" s="57"/>
      <ns0:c r="H1" s="57"/>
      <ns0:c r="I1" s="57"/>
      <ns0:c r="J1" s="57"/>
      <ns0:c r="K1" s="57"/>
      <ns0:c r="L1" s="57"/>
    </ns0:row>
    <ns0:row r="2">
      <ns0:c r="A2" s="58" t="str">
        <ns0:v>Payment network operating metrics</ns0:v>
      </ns0:c>
      <ns0:c r="B2" s="57"/>
      <ns0:c r="C2" s="57"/>
      <ns0:c r="D2" s="57"/>
      <ns0:c r="E2" s="57"/>
      <ns0:c r="F2" s="57"/>
      <ns0:c r="G2" s="57"/>
      <ns0:c r="H2" s="57"/>
      <ns0:c r="I2" s="57"/>
      <ns0:c r="J2" s="57"/>
      <ns0:c r="K2" s="57"/>
      <ns0:c r="L2" s="57"/>
    </ns0:row>
    <ns0:row r="3">
      <ns0:c r="A3" s="57" t="str">
        <ns0:v>Fiscal years retain issuer dates. USD amounts are nominal. Transaction scopes differ.</ns0:v>
      </ns0:c>
      <ns0:c r="B3" s="57"/>
      <ns0:c r="C3" s="57"/>
      <ns0:c r="D3" s="57"/>
      <ns0:c r="E3" s="57"/>
      <ns0:c r="F3" s="57"/>
      <ns0:c r="G3" s="57"/>
      <ns0:c r="H3" s="57"/>
      <ns0:c r="I3" s="57"/>
      <ns0:c r="J3" s="57"/>
      <ns0:c r="K3" s="57"/>
      <ns0:c r="L3" s="57"/>
    </ns0:row>
    <ns0:row r="4">
      <ns0:c r="A4" s="57"/>
      <ns0:c r="B4" s="57"/>
      <ns0:c r="C4" s="57"/>
      <ns0:c r="D4" s="57"/>
      <ns0:c r="E4" s="57"/>
      <ns0:c r="F4" s="57"/>
      <ns0:c r="G4" s="57"/>
      <ns0:c r="H4" s="57"/>
      <ns0:c r="I4" s="57"/>
      <ns0:c r="J4" s="57"/>
      <ns0:c r="K4" s="57"/>
      <ns0:c r="L4" s="57"/>
    </ns0:row>
    <ns0:row r="5" ht="28" customHeight="1">
      <ns0:c r="A5" s="61" t="str">
        <ns0:v>Issuer</ns0:v>
      </ns0:c>
      <ns0:c r="B5" s="61" t="str">
        <ns0:v>FY</ns0:v>
      </ns0:c>
      <ns0:c r="C5" s="61" t="str">
        <ns0:v>Year end</ns0:v>
      </ns0:c>
      <ns0:c r="D5" s="61" t="str">
        <ns0:v>Purchases USD bn</ns0:v>
      </ns0:c>
      <ns0:c r="E5" s="61" t="str">
        <ns0:v>Network tx m</ns0:v>
      </ns0:c>
      <ns0:c r="F5" s="61" t="str">
        <ns0:v>Deductions USD m</ns0:v>
      </ns0:c>
      <ns0:c r="G5" s="61" t="str">
        <ns0:v>Purchase YoY</ns0:v>
      </ns0:c>
      <ns0:c r="H5" s="61" t="str">
        <ns0:v>Tx YoY</ns0:v>
      </ns0:c>
      <ns0:c r="I5" s="61" t="str">
        <ns0:v>Deduction YoY</ns0:v>
      </ns0:c>
      <ns0:c r="J5" s="57"/>
      <ns0:c r="K5" s="57"/>
      <ns0:c r="L5" s="57"/>
    </ns0:row>
    <ns0:row r="6" ht="28" customHeight="1">
      <ns0:c r="A6" s="57" t="str">
        <ns0:v>Visa</ns0:v>
      </ns0:c>
      <ns0:c r="B6" s="57" t="n">
        <ns0:v>2021</ns0:v>
      </ns0:c>
      <ns0:c r="C6" s="62" t="d">
        <ns0:v>2021-09-30T12:00:00.000Z</ns0:v>
      </ns0:c>
      <ns0:c r="D6" s="65" t="n">
        <ns0:v>10401</ns0:v>
      </ns0:c>
      <ns0:c r="E6" s="65" t="n">
        <ns0:v>164734</ns0:v>
      </ns0:c>
      <ns0:c r="F6" s="65" t="n">
        <ns0:v>8367</ns0:v>
      </ns0:c>
      <ns0:c r="G6" s="66"/>
      <ns0:c r="H6" s="66"/>
      <ns0:c r="I6" s="66"/>
      <ns0:c r="J6" s="57"/>
      <ns0:c r="K6" s="57"/>
      <ns0:c r="L6" s="57"/>
    </ns0:row>
    <ns0:row r="7" ht="28" customHeight="1">
      <ns0:c r="A7" s="57" t="str">
        <ns0:v>Visa</ns0:v>
      </ns0:c>
      <ns0:c r="B7" s="57" t="n">
        <ns0:v>2022</ns0:v>
      </ns0:c>
      <ns0:c r="C7" s="62" t="d">
        <ns0:v>2022-09-30T12:00:00.000Z</ns0:v>
      </ns0:c>
      <ns0:c r="D7" s="65" t="n">
        <ns0:v>11614</ns0:v>
      </ns0:c>
      <ns0:c r="E7" s="65" t="n">
        <ns0:v>192530</ns0:v>
      </ns0:c>
      <ns0:c r="F7" s="65" t="n">
        <ns0:v>10295</ns0:v>
      </ns0:c>
      <ns0:c r="G7" s="66" t="n">
        <ns0:f>D7/D6-1</ns0:f>
        <ns0:v>0.11662340159600038</ns0:v>
      </ns0:c>
      <ns0:c r="H7" s="66" t="n">
        <ns0:f>E7/E6-1</ns0:f>
        <ns0:v>0.1687326235021307</ns0:v>
      </ns0:c>
      <ns0:c r="I7" s="66" t="n">
        <ns0:f>F7/F6-1</ns0:f>
        <ns0:v>0.2304290665710529</ns0:v>
      </ns0:c>
      <ns0:c r="J7" s="57"/>
      <ns0:c r="K7" s="57"/>
      <ns0:c r="L7" s="57"/>
    </ns0:row>
    <ns0:row r="8" ht="28" customHeight="1">
      <ns0:c r="A8" s="57" t="str">
        <ns0:v>Visa</ns0:v>
      </ns0:c>
      <ns0:c r="B8" s="57" t="n">
        <ns0:v>2023</ns0:v>
      </ns0:c>
      <ns0:c r="C8" s="62" t="d">
        <ns0:v>2023-09-30T12:00:00.000Z</ns0:v>
      </ns0:c>
      <ns0:c r="D8" s="65" t="n">
        <ns0:v>12338</ns0:v>
      </ns0:c>
      <ns0:c r="E8" s="65" t="n">
        <ns0:v>212579</ns0:v>
      </ns0:c>
      <ns0:c r="F8" s="65" t="n">
        <ns0:v>12297</ns0:v>
      </ns0:c>
      <ns0:c r="G8" s="66" t="n">
        <ns0:f>D8/D7-1</ns0:f>
        <ns0:v>0.06233855691406931</ns0:v>
      </ns0:c>
      <ns0:c r="H8" s="66" t="n">
        <ns0:f>E8/E7-1</ns0:f>
        <ns0:v>0.10413442060977518</ns0:v>
      </ns0:c>
      <ns0:c r="I8" s="66" t="n">
        <ns0:f>F8/F7-1</ns0:f>
        <ns0:v>0.19446333171442443</ns0:v>
      </ns0:c>
      <ns0:c r="J8" s="57"/>
      <ns0:c r="K8" s="57"/>
      <ns0:c r="L8" s="57"/>
    </ns0:row>
    <ns0:row r="9" ht="28" customHeight="1">
      <ns0:c r="A9" s="57" t="str">
        <ns0:v>Visa</ns0:v>
      </ns0:c>
      <ns0:c r="B9" s="57" t="n">
        <ns0:v>2024</ns0:v>
      </ns0:c>
      <ns0:c r="C9" s="62" t="d">
        <ns0:v>2024-09-30T12:00:00.000Z</ns0:v>
      </ns0:c>
      <ns0:c r="D9" s="65" t="n">
        <ns0:v>13193</ns0:v>
      </ns0:c>
      <ns0:c r="E9" s="65" t="n">
        <ns0:v>233758</ns0:v>
      </ns0:c>
      <ns0:c r="F9" s="65" t="n">
        <ns0:v>13764</ns0:v>
      </ns0:c>
      <ns0:c r="G9" s="66" t="n">
        <ns0:f>D9/D8-1</ns0:f>
        <ns0:v>0.0692981034203275</ns0:v>
      </ns0:c>
      <ns0:c r="H9" s="66" t="n">
        <ns0:f>E9/E8-1</ns0:f>
        <ns0:v>0.09962884386510429</ns0:v>
      </ns0:c>
      <ns0:c r="I9" s="66" t="n">
        <ns0:f>F9/F8-1</ns0:f>
        <ns0:v>0.11929738960722136</ns0:v>
      </ns0:c>
      <ns0:c r="J9" s="57"/>
      <ns0:c r="K9" s="57"/>
      <ns0:c r="L9" s="57"/>
    </ns0:row>
    <ns0:row r="10" ht="28" customHeight="1">
      <ns0:c r="A10" s="57" t="str">
        <ns0:v>Visa</ns0:v>
      </ns0:c>
      <ns0:c r="B10" s="57" t="n">
        <ns0:v>2025</ns0:v>
      </ns0:c>
      <ns0:c r="C10" s="62" t="d">
        <ns0:v>2025-09-30T12:00:00.000Z</ns0:v>
      </ns0:c>
      <ns0:c r="D10" s="65" t="n">
        <ns0:v>14217</ns0:v>
      </ns0:c>
      <ns0:c r="E10" s="65" t="n">
        <ns0:v>257545</ns0:v>
      </ns0:c>
      <ns0:c r="F10" s="65" t="n">
        <ns0:v>15751</ns0:v>
      </ns0:c>
      <ns0:c r="G10" s="66" t="n">
        <ns0:f>D10/D9-1</ns0:f>
        <ns0:v>0.07761691806260895</ns0:v>
      </ns0:c>
      <ns0:c r="H10" s="66" t="n">
        <ns0:f>E10/E9-1</ns0:f>
        <ns0:v>0.10175908418107626</ns0:v>
      </ns0:c>
      <ns0:c r="I10" s="66" t="n">
        <ns0:f>F10/F9-1</ns0:f>
        <ns0:v>0.14436210403952332</ns0:v>
      </ns0:c>
      <ns0:c r="J10" s="57"/>
      <ns0:c r="K10" s="57"/>
      <ns0:c r="L10" s="57"/>
    </ns0:row>
    <ns0:row r="11" ht="28" customHeight="1">
      <ns0:c r="A11" s="57" t="str">
        <ns0:v>Mastercard</ns0:v>
      </ns0:c>
      <ns0:c r="B11" s="57" t="n">
        <ns0:v>2021</ns0:v>
      </ns0:c>
      <ns0:c r="C11" s="62" t="d">
        <ns0:v>2021-12-31T12:00:00.000Z</ns0:v>
      </ns0:c>
      <ns0:c r="D11" s="65" t="n">
        <ns0:v>5959</ns0:v>
      </ns0:c>
      <ns0:c r="E11" s="65" t="n">
        <ns0:v>112090</ns0:v>
      </ns0:c>
      <ns0:c r="F11" s="65" t="n">
        <ns0:v>10476</ns0:v>
      </ns0:c>
      <ns0:c r="G11" s="66"/>
      <ns0:c r="H11" s="66"/>
      <ns0:c r="I11" s="66"/>
      <ns0:c r="J11" s="57"/>
      <ns0:c r="K11" s="57"/>
      <ns0:c r="L11" s="57"/>
    </ns0:row>
    <ns0:row r="12" ht="28" customHeight="1">
      <ns0:c r="A12" s="57" t="str">
        <ns0:v>Mastercard</ns0:v>
      </ns0:c>
      <ns0:c r="B12" s="57" t="n">
        <ns0:v>2022</ns0:v>
      </ns0:c>
      <ns0:c r="C12" s="62" t="d">
        <ns0:v>2022-12-31T12:00:00.000Z</ns0:v>
      </ns0:c>
      <ns0:c r="D12" s="65" t="n">
        <ns0:v>6571</ns0:v>
      </ns0:c>
      <ns0:c r="E12" s="65" t="n">
        <ns0:v>125680</ns0:v>
      </ns0:c>
      <ns0:c r="F12" s="65" t="n">
        <ns0:v>12445</ns0:v>
      </ns0:c>
      <ns0:c r="G12" s="66" t="n">
        <ns0:f>D12/D11-1</ns0:f>
        <ns0:v>0.10270179560328918</ns0:v>
      </ns0:c>
      <ns0:c r="H12" s="66" t="n">
        <ns0:f>E12/E11-1</ns0:f>
        <ns0:v>0.12124185922026953</ns0:v>
      </ns0:c>
      <ns0:c r="I12" s="66" t="n">
        <ns0:f>F12/F11-1</ns0:f>
        <ns0:v>0.1879534173348607</ns0:v>
      </ns0:c>
      <ns0:c r="J12" s="57"/>
      <ns0:c r="K12" s="57"/>
      <ns0:c r="L12" s="57"/>
    </ns0:row>
    <ns0:row r="13" ht="28" customHeight="1">
      <ns0:c r="A13" s="57" t="str">
        <ns0:v>Mastercard</ns0:v>
      </ns0:c>
      <ns0:c r="B13" s="57" t="n">
        <ns0:v>2023</ns0:v>
      </ns0:c>
      <ns0:c r="C13" s="62" t="d">
        <ns0:v>2023-12-31T12:00:00.000Z</ns0:v>
      </ns0:c>
      <ns0:c r="D13" s="65" t="n">
        <ns0:v>7345</ns0:v>
      </ns0:c>
      <ns0:c r="E13" s="65" t="n">
        <ns0:v>143196</ns0:v>
      </ns0:c>
      <ns0:c r="F13" s="65" t="n">
        <ns0:v>15181</ns0:v>
      </ns0:c>
      <ns0:c r="G13" s="66" t="n">
        <ns0:f>D13/D12-1</ns0:f>
        <ns0:v>0.11779029067113078</ns0:v>
      </ns0:c>
      <ns0:c r="H13" s="66" t="n">
        <ns0:f>E13/E12-1</ns0:f>
        <ns0:v>0.1393698281349458</ns0:v>
      </ns0:c>
      <ns0:c r="I13" s="66" t="n">
        <ns0:f>F13/F12-1</ns0:f>
        <ns0:v>0.21984732824427478</ns0:v>
      </ns0:c>
      <ns0:c r="J13" s="57"/>
      <ns0:c r="K13" s="57"/>
      <ns0:c r="L13" s="57"/>
    </ns0:row>
    <ns0:row r="14" ht="28" customHeight="1">
      <ns0:c r="A14" s="57" t="str">
        <ns0:v>Mastercard</ns0:v>
      </ns0:c>
      <ns0:c r="B14" s="57" t="n">
        <ns0:v>2024</ns0:v>
      </ns0:c>
      <ns0:c r="C14" s="62" t="d">
        <ns0:v>2024-12-31T12:00:00.000Z</ns0:v>
      </ns0:c>
      <ns0:c r="D14" s="65" t="n">
        <ns0:v>8003</ns0:v>
      </ns0:c>
      <ns0:c r="E14" s="65" t="n">
        <ns0:v>159424</ns0:v>
      </ns0:c>
      <ns0:c r="F14" s="65" t="n">
        <ns0:v>17629</ns0:v>
      </ns0:c>
      <ns0:c r="G14" s="66" t="n">
        <ns0:f>D14/D13-1</ns0:f>
        <ns0:v>0.08958475153165413</ns0:v>
      </ns0:c>
      <ns0:c r="H14" s="66" t="n">
        <ns0:f>E14/E13-1</ns0:f>
        <ns0:v>0.11332718791027685</ns0:v>
      </ns0:c>
      <ns0:c r="I14" s="66" t="n">
        <ns0:f>F14/F13-1</ns0:f>
        <ns0:v>0.16125419932810758</ns0:v>
      </ns0:c>
      <ns0:c r="J14" s="57"/>
      <ns0:c r="K14" s="57"/>
      <ns0:c r="L14" s="57"/>
    </ns0:row>
    <ns0:row r="15" ht="28" customHeight="1">
      <ns0:c r="A15" s="57" t="str">
        <ns0:v>Mastercard</ns0:v>
      </ns0:c>
      <ns0:c r="B15" s="57" t="n">
        <ns0:v>2025</ns0:v>
      </ns0:c>
      <ns0:c r="C15" s="62" t="d">
        <ns0:v>2025-12-31T12:00:00.000Z</ns0:v>
      </ns0:c>
      <ns0:c r="D15" s="65" t="n">
        <ns0:v>8799</ns0:v>
      </ns0:c>
      <ns0:c r="E15" s="65" t="n">
        <ns0:v>175464</ns0:v>
      </ns0:c>
      <ns0:c r="F15" s="65" t="n">
        <ns0:v>20522</ns0:v>
      </ns0:c>
      <ns0:c r="G15" s="66" t="n">
        <ns0:f>D15/D14-1</ns0:f>
        <ns0:v>0.09946270148694247</ns0:v>
      </ns0:c>
      <ns0:c r="H15" s="66" t="n">
        <ns0:f>E15/E14-1</ns0:f>
        <ns0:v>0.10061220393416304</ns0:v>
      </ns0:c>
      <ns0:c r="I15" s="66" t="n">
        <ns0:f>F15/F14-1</ns0:f>
        <ns0:v>0.16410460037438312</ns0:v>
      </ns0:c>
      <ns0:c r="J15" s="57"/>
      <ns0:c r="K15" s="57"/>
      <ns0:c r="L15" s="57"/>
    </ns0:row>
    <ns0:row r="16">
      <ns0:c r="A16" s="57"/>
      <ns0:c r="B16" s="57"/>
      <ns0:c r="C16" s="57"/>
      <ns0:c r="D16" s="57"/>
      <ns0:c r="E16" s="57"/>
      <ns0:c r="F16" s="57"/>
      <ns0:c r="G16" s="57"/>
      <ns0:c r="H16" s="57"/>
      <ns0:c r="I16" s="57"/>
      <ns0:c r="J16" s="57"/>
      <ns0:c r="K16" s="57"/>
      <ns0:c r="L16" s="57"/>
    </ns0:row>
    <ns0:row r="17">
      <ns0:c r="A17" s="57" t="str">
        <ns0:v>Visa: processed transactions; reported consolidated client incentives.</ns0:v>
      </ns0:c>
      <ns0:c r="B17" s="57"/>
      <ns0:c r="C17" s="57"/>
      <ns0:c r="D17" s="57"/>
      <ns0:c r="E17" s="57"/>
      <ns0:c r="F17" s="57"/>
      <ns0:c r="G17" s="57"/>
      <ns0:c r="H17" s="57"/>
      <ns0:c r="I17" s="57"/>
      <ns0:c r="J17" s="57"/>
      <ns0:c r="K17" s="57"/>
      <ns0:c r="L17" s="57"/>
    </ns0:row>
    <ns0:row r="18">
      <ns0:c r="A18" s="57" t="str">
        <ns0:v>Mastercard: switched transactions; deductions derived from reclassified payment-network assessments less network net revenue.</ns0:v>
      </ns0:c>
      <ns0:c r="B18" s="57"/>
      <ns0:c r="C18" s="57"/>
      <ns0:c r="D18" s="57"/>
      <ns0:c r="E18" s="57"/>
      <ns0:c r="F18" s="57"/>
      <ns0:c r="G18" s="57"/>
      <ns0:c r="H18" s="57"/>
      <ns0:c r="I18" s="57"/>
      <ns0:c r="J18" s="57"/>
      <ns0:c r="K18" s="57"/>
      <ns0:c r="L18" s="57"/>
    </ns0:row>
    <ns0:row r="19">
      <ns0:c r="A19" s="57" t="str">
        <ns0:v>FY2023 Mastercard: derived 15,181m; narrative 15,182m. The 1m residual reflects rounded published components.</ns0:v>
      </ns0:c>
      <ns0:c r="B19" s="57"/>
      <ns0:c r="C19" s="57"/>
      <ns0:c r="D19" s="57"/>
      <ns0:c r="E19" s="57"/>
      <ns0:c r="F19" s="57"/>
      <ns0:c r="G19" s="57"/>
      <ns0:c r="H19" s="57"/>
      <ns0:c r="I19" s="57"/>
      <ns0:c r="J19" s="57"/>
      <ns0:c r="K19" s="57"/>
      <ns0:c r="L19" s="57"/>
    </ns0:row>
    <ns0:row r="20">
      <ns0:c r="A20" s="57" t="str">
        <ns0:v>Incentives are revenue deductions, not cash paid. No common take-rate or average ticket is calculated.</ns0:v>
      </ns0:c>
      <ns0:c r="B20" s="57"/>
      <ns0:c r="C20" s="57"/>
      <ns0:c r="D20" s="57"/>
      <ns0:c r="E20" s="57"/>
      <ns0:c r="F20" s="57"/>
      <ns0:c r="G20" s="57"/>
      <ns0:c r="H20" s="57"/>
      <ns0:c r="I20" s="57"/>
      <ns0:c r="J20" s="57"/>
      <ns0:c r="K20" s="57"/>
      <ns0:c r="L20" s="57"/>
    </ns0:row>
    <ns0:row r="21">
      <ns0:c r="A21" s="57" t="str">
        <ns0:v>Visa FY2021 transactions use the FY2023 comparative (164,734m), versus 164,733m in FY2021. Source editions are retained.</ns0:v>
      </ns0:c>
      <ns0:c r="B21" s="57"/>
      <ns0:c r="C21" s="57"/>
      <ns0:c r="D21" s="57"/>
      <ns0:c r="E21" s="57"/>
      <ns0:c r="F21" s="57"/>
      <ns0:c r="G21" s="57"/>
      <ns0:c r="H21" s="57"/>
      <ns0:c r="I21" s="57"/>
      <ns0:c r="J21" s="57"/>
      <ns0:c r="K21" s="57"/>
      <ns0:c r="L21" s="57"/>
    </ns0:row>
    <ns0:row r="22">
      <ns0:c r="A22" s="57"/>
      <ns0:c r="B22" s="57"/>
      <ns0:c r="C22" s="57"/>
      <ns0:c r="D22" s="57"/>
      <ns0:c r="E22" s="57"/>
      <ns0:c r="F22" s="57"/>
      <ns0:c r="G22" s="57"/>
      <ns0:c r="H22" s="57"/>
      <ns0:c r="I22" s="57"/>
      <ns0:c r="J22" s="57"/>
      <ns0:c r="K22" s="57"/>
      <ns0:c r="L22" s="57"/>
    </ns0:row>
    <ns0:row r="23" ht="32" customHeight="1">
      <ns0:c r="A23" s="61" t="str">
        <ns0:v>Issuer</ns0:v>
      </ns0:c>
      <ns0:c r="B23" s="61" t="str">
        <ns0:v>FY</ns0:v>
      </ns0:c>
      <ns0:c r="C23" s="61" t="str">
        <ns0:v>Metric</ns0:v>
      </ns0:c>
      <ns0:c r="D23" s="61" t="str">
        <ns0:v>Value in source units</ns0:v>
      </ns0:c>
      <ns0:c r="E23" s="61" t="str">
        <ns0:v>Scale</ns0:v>
      </ns0:c>
      <ns0:c r="F23" s="61" t="str">
        <ns0:v>Basis</ns0:v>
      </ns0:c>
      <ns0:c r="G23" s="61" t="str">
        <ns0:v>PDF page(s)</ns0:v>
      </ns0:c>
      <ns0:c r="H23" s="61" t="str">
        <ns0:v>Source file</ns0:v>
      </ns0:c>
      <ns0:c r="I23" s="61" t="str">
        <ns0:v>Source URL</ns0:v>
      </ns0:c>
      <ns0:c r="J23" s="61" t="str">
        <ns0:v>Scope</ns0:v>
      </ns0:c>
      <ns0:c r="K23" s="57"/>
      <ns0:c r="L23" s="57"/>
    </ns0:row>
    <ns0:row r="24" ht="110" customHeight="1">
      <ns0:c r="A24" s="57" t="str">
        <ns0:v>visa</ns0:v>
      </ns0:c>
      <ns0:c r="B24" s="57" t="n">
        <ns0:v>2021</ns0:v>
      </ns0:c>
      <ns0:c r="C24" s="57" t="str">
        <ns0:v>payment_volume</ns0:v>
      </ns0:c>
      <ns0:c r="D24" s="67" t="n">
        <ns0:v>10401</ns0:v>
      </ns0:c>
      <ns0:c r="E24" s="67" t="n">
        <ns0:v>1000000000</ns0:v>
      </ns0:c>
      <ns0:c r="F24" s="68" t="str">
        <ns0:v>reported_nominal_USD</ns0:v>
      </ns0:c>
      <ns0:c r="G24" s="68" t="str">
        <ns0:v>3</ns0:v>
      </ns0:c>
      <ns0:c r="H24" s="68" t="str">
        <ns0:v>data/raw/industry_supplements/visa_2021_supplement.pdf</ns0:v>
      </ns0:c>
      <ns0:c r="I24" s="68" t="str">
        <ns0:v>https://investor.visa.com/files/doc_financials/2021/q4/Visa-Inc.-Fourth-Quarter-and-Full-Year-2021-Operational-Performance-Data.pdf</ns0:v>
      </ns0:c>
      <ns0:c r="J24" s="68" t="str">
        <ns0:v>Worldwide Visa credit and debit payments, excluding cash</ns0:v>
      </ns0:c>
      <ns0:c r="K24" s="57"/>
      <ns0:c r="L24" s="57"/>
    </ns0:row>
    <ns0:row r="25" ht="110" customHeight="1">
      <ns0:c r="A25" s="57" t="str">
        <ns0:v>visa</ns0:v>
      </ns0:c>
      <ns0:c r="B25" s="57" t="n">
        <ns0:v>2021</ns0:v>
      </ns0:c>
      <ns0:c r="C25" s="57" t="str">
        <ns0:v>network_transactions</ns0:v>
      </ns0:c>
      <ns0:c r="D25" s="67" t="n">
        <ns0:v>164734</ns0:v>
      </ns0:c>
      <ns0:c r="E25" s="67" t="n">
        <ns0:v>1000000</ns0:v>
      </ns0:c>
      <ns0:c r="F25" s="68" t="str">
        <ns0:v>reported</ns0:v>
      </ns0:c>
      <ns0:c r="G25" s="68" t="str">
        <ns0:v>53</ns0:v>
      </ns0:c>
      <ns0:c r="H25" s="68" t="str">
        <ns0:v>data/raw/issuer_reports/visa/FY2023_annual_report.pdf</ns0:v>
      </ns0:c>
      <ns0:c r="I25" s="68" t="str">
        <ns0:v>https://s29.q4cdn.com/385744025/files/doc_downloads/2023/Visa-Inc-Fiscal-2023-Annual-Report.pdf</ns0:v>
      </ns0:c>
      <ns0:c r="J25" s="68" t="str">
        <ns0:v>Transactions processed on Visa networks, including payment and cash</ns0:v>
      </ns0:c>
      <ns0:c r="K25" s="57"/>
      <ns0:c r="L25" s="57"/>
    </ns0:row>
    <ns0:row r="26" ht="110" customHeight="1">
      <ns0:c r="A26" s="57" t="str">
        <ns0:v>visa</ns0:v>
      </ns0:c>
      <ns0:c r="B26" s="57" t="n">
        <ns0:v>2022</ns0:v>
      </ns0:c>
      <ns0:c r="C26" s="57" t="str">
        <ns0:v>payment_volume</ns0:v>
      </ns0:c>
      <ns0:c r="D26" s="67" t="n">
        <ns0:v>11614</ns0:v>
      </ns0:c>
      <ns0:c r="E26" s="67" t="n">
        <ns0:v>1000000000</ns0:v>
      </ns0:c>
      <ns0:c r="F26" s="68" t="str">
        <ns0:v>reported_nominal_USD</ns0:v>
      </ns0:c>
      <ns0:c r="G26" s="68" t="str">
        <ns0:v>3</ns0:v>
      </ns0:c>
      <ns0:c r="H26" s="68" t="str">
        <ns0:v>data/raw/industry_supplements/visa_2023_supplement.pdf</ns0:v>
      </ns0:c>
      <ns0:c r="I26" s="68" t="str">
        <ns0:v>https://s1.q4cdn.com/050606653/files/doc_financials/2023/q4/Q4FY23-Visa-Operational-Performance-Data.pdf</ns0:v>
      </ns0:c>
      <ns0:c r="J26" s="68" t="str">
        <ns0:v>Worldwide Visa credit and debit payments, excluding cash</ns0:v>
      </ns0:c>
      <ns0:c r="K26" s="57"/>
      <ns0:c r="L26" s="57"/>
    </ns0:row>
    <ns0:row r="27" ht="110" customHeight="1">
      <ns0:c r="A27" s="57" t="str">
        <ns0:v>visa</ns0:v>
      </ns0:c>
      <ns0:c r="B27" s="57" t="n">
        <ns0:v>2022</ns0:v>
      </ns0:c>
      <ns0:c r="C27" s="57" t="str">
        <ns0:v>network_transactions</ns0:v>
      </ns0:c>
      <ns0:c r="D27" s="67" t="n">
        <ns0:v>192530</ns0:v>
      </ns0:c>
      <ns0:c r="E27" s="67" t="n">
        <ns0:v>1000000</ns0:v>
      </ns0:c>
      <ns0:c r="F27" s="68" t="str">
        <ns0:v>reported</ns0:v>
      </ns0:c>
      <ns0:c r="G27" s="68" t="str">
        <ns0:v>53</ns0:v>
      </ns0:c>
      <ns0:c r="H27" s="68" t="str">
        <ns0:v>data/raw/issuer_reports/visa/FY2023_annual_report.pdf</ns0:v>
      </ns0:c>
      <ns0:c r="I27" s="68" t="str">
        <ns0:v>https://s29.q4cdn.com/385744025/files/doc_downloads/2023/Visa-Inc-Fiscal-2023-Annual-Report.pdf</ns0:v>
      </ns0:c>
      <ns0:c r="J27" s="68" t="str">
        <ns0:v>Transactions processed on Visa networks, including payment and cash</ns0:v>
      </ns0:c>
      <ns0:c r="K27" s="57"/>
      <ns0:c r="L27" s="57"/>
    </ns0:row>
    <ns0:row r="28" ht="110" customHeight="1">
      <ns0:c r="A28" s="57" t="str">
        <ns0:v>visa</ns0:v>
      </ns0:c>
      <ns0:c r="B28" s="57" t="n">
        <ns0:v>2023</ns0:v>
      </ns0:c>
      <ns0:c r="C28" s="57" t="str">
        <ns0:v>payment_volume</ns0:v>
      </ns0:c>
      <ns0:c r="D28" s="67" t="n">
        <ns0:v>12338</ns0:v>
      </ns0:c>
      <ns0:c r="E28" s="67" t="n">
        <ns0:v>1000000000</ns0:v>
      </ns0:c>
      <ns0:c r="F28" s="68" t="str">
        <ns0:v>reported_nominal_USD</ns0:v>
      </ns0:c>
      <ns0:c r="G28" s="68" t="str">
        <ns0:v>3</ns0:v>
      </ns0:c>
      <ns0:c r="H28" s="68" t="str">
        <ns0:v>data/raw/industry_supplements/visa_2023_supplement.pdf</ns0:v>
      </ns0:c>
      <ns0:c r="I28" s="68" t="str">
        <ns0:v>https://s1.q4cdn.com/050606653/files/doc_financials/2023/q4/Q4FY23-Visa-Operational-Performance-Data.pdf</ns0:v>
      </ns0:c>
      <ns0:c r="J28" s="68" t="str">
        <ns0:v>Worldwide Visa credit and debit payments, excluding cash</ns0:v>
      </ns0:c>
      <ns0:c r="K28" s="57"/>
      <ns0:c r="L28" s="57"/>
    </ns0:row>
    <ns0:row r="29" ht="110" customHeight="1">
      <ns0:c r="A29" s="57" t="str">
        <ns0:v>visa</ns0:v>
      </ns0:c>
      <ns0:c r="B29" s="57" t="n">
        <ns0:v>2023</ns0:v>
      </ns0:c>
      <ns0:c r="C29" s="57" t="str">
        <ns0:v>network_transactions</ns0:v>
      </ns0:c>
      <ns0:c r="D29" s="67" t="n">
        <ns0:v>212579</ns0:v>
      </ns0:c>
      <ns0:c r="E29" s="67" t="n">
        <ns0:v>1000000</ns0:v>
      </ns0:c>
      <ns0:c r="F29" s="68" t="str">
        <ns0:v>reported</ns0:v>
      </ns0:c>
      <ns0:c r="G29" s="68" t="str">
        <ns0:v>53</ns0:v>
      </ns0:c>
      <ns0:c r="H29" s="68" t="str">
        <ns0:v>data/raw/issuer_reports/visa/FY2023_annual_report.pdf</ns0:v>
      </ns0:c>
      <ns0:c r="I29" s="68" t="str">
        <ns0:v>https://s29.q4cdn.com/385744025/files/doc_downloads/2023/Visa-Inc-Fiscal-2023-Annual-Report.pdf</ns0:v>
      </ns0:c>
      <ns0:c r="J29" s="68" t="str">
        <ns0:v>Transactions processed on Visa networks, including payment and cash</ns0:v>
      </ns0:c>
      <ns0:c r="K29" s="57"/>
      <ns0:c r="L29" s="57"/>
    </ns0:row>
    <ns0:row r="30" ht="110" customHeight="1">
      <ns0:c r="A30" s="57" t="str">
        <ns0:v>visa</ns0:v>
      </ns0:c>
      <ns0:c r="B30" s="57" t="n">
        <ns0:v>2024</ns0:v>
      </ns0:c>
      <ns0:c r="C30" s="57" t="str">
        <ns0:v>payment_volume</ns0:v>
      </ns0:c>
      <ns0:c r="D30" s="67" t="n">
        <ns0:v>13193</ns0:v>
      </ns0:c>
      <ns0:c r="E30" s="67" t="n">
        <ns0:v>1000000000</ns0:v>
      </ns0:c>
      <ns0:c r="F30" s="68" t="str">
        <ns0:v>reported_nominal_USD</ns0:v>
      </ns0:c>
      <ns0:c r="G30" s="68" t="str">
        <ns0:v>3</ns0:v>
      </ns0:c>
      <ns0:c r="H30" s="68" t="str">
        <ns0:v>data/raw/industry_supplements/visa_2025_supplement.pdf</ns0:v>
      </ns0:c>
      <ns0:c r="I30" s="68" t="str">
        <ns0:v>https://s1.q4cdn.com/050606653/files/doc_financials/2025/q4/Q4FY25-Visa-Operational-Performance-Data.pdf</ns0:v>
      </ns0:c>
      <ns0:c r="J30" s="68" t="str">
        <ns0:v>Worldwide Visa credit and debit payments, excluding cash</ns0:v>
      </ns0:c>
      <ns0:c r="K30" s="57"/>
      <ns0:c r="L30" s="57"/>
    </ns0:row>
    <ns0:row r="31" ht="110" customHeight="1">
      <ns0:c r="A31" s="57" t="str">
        <ns0:v>visa</ns0:v>
      </ns0:c>
      <ns0:c r="B31" s="57" t="n">
        <ns0:v>2024</ns0:v>
      </ns0:c>
      <ns0:c r="C31" s="57" t="str">
        <ns0:v>network_transactions</ns0:v>
      </ns0:c>
      <ns0:c r="D31" s="67" t="n">
        <ns0:v>233758</ns0:v>
      </ns0:c>
      <ns0:c r="E31" s="67" t="n">
        <ns0:v>1000000</ns0:v>
      </ns0:c>
      <ns0:c r="F31" s="68" t="str">
        <ns0:v>reported</ns0:v>
      </ns0:c>
      <ns0:c r="G31" s="68" t="str">
        <ns0:v>60</ns0:v>
      </ns0:c>
      <ns0:c r="H31" s="68" t="str">
        <ns0:v>data/raw/issuer_reports/visa/FY2025_annual_report.pdf</ns0:v>
      </ns0:c>
      <ns0:c r="I31" s="68" t="str">
        <ns0:v>https://s29.q4cdn.com/385744025/files/doc_downloads/2025/Visa-Fiscal-2025-Annual-Report.pdf</ns0:v>
      </ns0:c>
      <ns0:c r="J31" s="68" t="str">
        <ns0:v>Transactions processed on Visa networks, including payment and cash</ns0:v>
      </ns0:c>
      <ns0:c r="K31" s="57"/>
      <ns0:c r="L31" s="57"/>
    </ns0:row>
    <ns0:row r="32" ht="110" customHeight="1">
      <ns0:c r="A32" s="57" t="str">
        <ns0:v>visa</ns0:v>
      </ns0:c>
      <ns0:c r="B32" s="57" t="n">
        <ns0:v>2025</ns0:v>
      </ns0:c>
      <ns0:c r="C32" s="57" t="str">
        <ns0:v>payment_volume</ns0:v>
      </ns0:c>
      <ns0:c r="D32" s="67" t="n">
        <ns0:v>14217</ns0:v>
      </ns0:c>
      <ns0:c r="E32" s="67" t="n">
        <ns0:v>1000000000</ns0:v>
      </ns0:c>
      <ns0:c r="F32" s="68" t="str">
        <ns0:v>reported_nominal_USD</ns0:v>
      </ns0:c>
      <ns0:c r="G32" s="68" t="str">
        <ns0:v>3</ns0:v>
      </ns0:c>
      <ns0:c r="H32" s="68" t="str">
        <ns0:v>data/raw/industry_supplements/visa_2025_supplement.pdf</ns0:v>
      </ns0:c>
      <ns0:c r="I32" s="68" t="str">
        <ns0:v>https://s1.q4cdn.com/050606653/files/doc_financials/2025/q4/Q4FY25-Visa-Operational-Performance-Data.pdf</ns0:v>
      </ns0:c>
      <ns0:c r="J32" s="68" t="str">
        <ns0:v>Worldwide Visa credit and debit payments, excluding cash</ns0:v>
      </ns0:c>
      <ns0:c r="K32" s="57"/>
      <ns0:c r="L32" s="57"/>
    </ns0:row>
    <ns0:row r="33" ht="110" customHeight="1">
      <ns0:c r="A33" s="57" t="str">
        <ns0:v>visa</ns0:v>
      </ns0:c>
      <ns0:c r="B33" s="57" t="n">
        <ns0:v>2025</ns0:v>
      </ns0:c>
      <ns0:c r="C33" s="57" t="str">
        <ns0:v>network_transactions</ns0:v>
      </ns0:c>
      <ns0:c r="D33" s="67" t="n">
        <ns0:v>257545</ns0:v>
      </ns0:c>
      <ns0:c r="E33" s="67" t="n">
        <ns0:v>1000000</ns0:v>
      </ns0:c>
      <ns0:c r="F33" s="68" t="str">
        <ns0:v>reported</ns0:v>
      </ns0:c>
      <ns0:c r="G33" s="68" t="str">
        <ns0:v>60</ns0:v>
      </ns0:c>
      <ns0:c r="H33" s="68" t="str">
        <ns0:v>data/raw/issuer_reports/visa/FY2025_annual_report.pdf</ns0:v>
      </ns0:c>
      <ns0:c r="I33" s="68" t="str">
        <ns0:v>https://s29.q4cdn.com/385744025/files/doc_downloads/2025/Visa-Fiscal-2025-Annual-Report.pdf</ns0:v>
      </ns0:c>
      <ns0:c r="J33" s="68" t="str">
        <ns0:v>Transactions processed on Visa networks, including payment and cash</ns0:v>
      </ns0:c>
      <ns0:c r="K33" s="57"/>
      <ns0:c r="L33" s="57"/>
    </ns0:row>
    <ns0:row r="34" ht="110" customHeight="1">
      <ns0:c r="A34" s="57" t="str">
        <ns0:v>mastercard</ns0:v>
      </ns0:c>
      <ns0:c r="B34" s="57" t="n">
        <ns0:v>2021</ns0:v>
      </ns0:c>
      <ns0:c r="C34" s="57" t="str">
        <ns0:v>payment_volume</ns0:v>
      </ns0:c>
      <ns0:c r="D34" s="67" t="n">
        <ns0:v>5959</ns0:v>
      </ns0:c>
      <ns0:c r="E34" s="67" t="n">
        <ns0:v>1000000000</ns0:v>
      </ns0:c>
      <ns0:c r="F34" s="68" t="str">
        <ns0:v>reported_nominal_USD</ns0:v>
      </ns0:c>
      <ns0:c r="G34" s="68" t="str">
        <ns0:v>2</ns0:v>
      </ns0:c>
      <ns0:c r="H34" s="68" t="str">
        <ns0:v>data/raw/industry_supplements/mastercard_2021_supplement.pdf</ns0:v>
      </ns0:c>
      <ns0:c r="I34" s="68" t="str">
        <ns0:v>https://investor.mastercard.com/files/doc_financials/2021/q4/4Q21-Mastercard-Supplemental-Operational-Performance-Data.pdf</ns0:v>
      </ns0:c>
      <ns0:c r="J34" s="68" t="str">
        <ns0:v>Worldwide Mastercard credit, charge, debit and prepaid purchases, excluding cash, Maestro and Cirrus</ns0:v>
      </ns0:c>
      <ns0:c r="K34" s="57"/>
      <ns0:c r="L34" s="57"/>
    </ns0:row>
    <ns0:row r="35" ht="110" customHeight="1">
      <ns0:c r="A35" s="57" t="str">
        <ns0:v>mastercard</ns0:v>
      </ns0:c>
      <ns0:c r="B35" s="57" t="n">
        <ns0:v>2021</ns0:v>
      </ns0:c>
      <ns0:c r="C35" s="57" t="str">
        <ns0:v>network_transactions</ns0:v>
      </ns0:c>
      <ns0:c r="D35" s="67" t="n">
        <ns0:v>112090</ns0:v>
      </ns0:c>
      <ns0:c r="E35" s="67" t="n">
        <ns0:v>1000000</ns0:v>
      </ns0:c>
      <ns0:c r="F35" s="68" t="str">
        <ns0:v>reported</ns0:v>
      </ns0:c>
      <ns0:c r="G35" s="68" t="str">
        <ns0:v>8</ns0:v>
      </ns0:c>
      <ns0:c r="H35" s="68" t="str">
        <ns0:v>data/raw/industry_supplements/mastercard_2021_supplement.pdf</ns0:v>
      </ns0:c>
      <ns0:c r="I35" s="68" t="str">
        <ns0:v>https://investor.mastercard.com/files/doc_financials/2021/q4/4Q21-Mastercard-Supplemental-Operational-Performance-Data.pdf</ns0:v>
      </ns0:c>
      <ns0:c r="J35" s="68" t="str">
        <ns0:v>Transactions initiated and switched through Mastercard network</ns0:v>
      </ns0:c>
      <ns0:c r="K35" s="57"/>
      <ns0:c r="L35" s="57"/>
    </ns0:row>
    <ns0:row r="36" ht="110" customHeight="1">
      <ns0:c r="A36" s="57" t="str">
        <ns0:v>mastercard</ns0:v>
      </ns0:c>
      <ns0:c r="B36" s="57" t="n">
        <ns0:v>2022</ns0:v>
      </ns0:c>
      <ns0:c r="C36" s="57" t="str">
        <ns0:v>payment_volume</ns0:v>
      </ns0:c>
      <ns0:c r="D36" s="67" t="n">
        <ns0:v>6571</ns0:v>
      </ns0:c>
      <ns0:c r="E36" s="67" t="n">
        <ns0:v>1000000000</ns0:v>
      </ns0:c>
      <ns0:c r="F36" s="68" t="str">
        <ns0:v>reported_nominal_USD</ns0:v>
      </ns0:c>
      <ns0:c r="G36" s="68" t="str">
        <ns0:v>2</ns0:v>
      </ns0:c>
      <ns0:c r="H36" s="68" t="str">
        <ns0:v>data/raw/industry_supplements/mastercard_2023_supplement.pdf</ns0:v>
      </ns0:c>
      <ns0:c r="I36" s="68" t="str">
        <ns0:v>https://s25.q4cdn.com/479285134/files/doc_financials/2023/q4/4Q23-Mastercard-Supplemental-Operational-Performance-Data.pdf</ns0:v>
      </ns0:c>
      <ns0:c r="J36" s="68" t="str">
        <ns0:v>Worldwide Mastercard credit, charge, debit and prepaid purchases, excluding cash, Maestro and Cirrus</ns0:v>
      </ns0:c>
      <ns0:c r="K36" s="57"/>
      <ns0:c r="L36" s="57"/>
    </ns0:row>
    <ns0:row r="37" ht="110" customHeight="1">
      <ns0:c r="A37" s="57" t="str">
        <ns0:v>mastercard</ns0:v>
      </ns0:c>
      <ns0:c r="B37" s="57" t="n">
        <ns0:v>2022</ns0:v>
      </ns0:c>
      <ns0:c r="C37" s="57" t="str">
        <ns0:v>network_transactions</ns0:v>
      </ns0:c>
      <ns0:c r="D37" s="67" t="n">
        <ns0:v>125680</ns0:v>
      </ns0:c>
      <ns0:c r="E37" s="67" t="n">
        <ns0:v>1000000</ns0:v>
      </ns0:c>
      <ns0:c r="F37" s="68" t="str">
        <ns0:v>reported</ns0:v>
      </ns0:c>
      <ns0:c r="G37" s="68" t="str">
        <ns0:v>8</ns0:v>
      </ns0:c>
      <ns0:c r="H37" s="68" t="str">
        <ns0:v>data/raw/industry_supplements/mastercard_2023_supplement.pdf</ns0:v>
      </ns0:c>
      <ns0:c r="I37" s="68" t="str">
        <ns0:v>https://s25.q4cdn.com/479285134/files/doc_financials/2023/q4/4Q23-Mastercard-Supplemental-Operational-Performance-Data.pdf</ns0:v>
      </ns0:c>
      <ns0:c r="J37" s="68" t="str">
        <ns0:v>Transactions initiated and switched through Mastercard network</ns0:v>
      </ns0:c>
      <ns0:c r="K37" s="57"/>
      <ns0:c r="L37" s="57"/>
    </ns0:row>
    <ns0:row r="38" ht="110" customHeight="1">
      <ns0:c r="A38" s="57" t="str">
        <ns0:v>mastercard</ns0:v>
      </ns0:c>
      <ns0:c r="B38" s="57" t="n">
        <ns0:v>2023</ns0:v>
      </ns0:c>
      <ns0:c r="C38" s="57" t="str">
        <ns0:v>payment_volume</ns0:v>
      </ns0:c>
      <ns0:c r="D38" s="67" t="n">
        <ns0:v>7345</ns0:v>
      </ns0:c>
      <ns0:c r="E38" s="67" t="n">
        <ns0:v>1000000000</ns0:v>
      </ns0:c>
      <ns0:c r="F38" s="68" t="str">
        <ns0:v>reported_nominal_USD</ns0:v>
      </ns0:c>
      <ns0:c r="G38" s="68" t="str">
        <ns0:v>2</ns0:v>
      </ns0:c>
      <ns0:c r="H38" s="68" t="str">
        <ns0:v>data/raw/industry_supplements/mastercard_2023_supplement.pdf</ns0:v>
      </ns0:c>
      <ns0:c r="I38" s="68" t="str">
        <ns0:v>https://s25.q4cdn.com/479285134/files/doc_financials/2023/q4/4Q23-Mastercard-Supplemental-Operational-Performance-Data.pdf</ns0:v>
      </ns0:c>
      <ns0:c r="J38" s="68" t="str">
        <ns0:v>Worldwide Mastercard credit, charge, debit and prepaid purchases, excluding cash, Maestro and Cirrus</ns0:v>
      </ns0:c>
      <ns0:c r="K38" s="57"/>
      <ns0:c r="L38" s="57"/>
    </ns0:row>
    <ns0:row r="39" ht="110" customHeight="1">
      <ns0:c r="A39" s="57" t="str">
        <ns0:v>mastercard</ns0:v>
      </ns0:c>
      <ns0:c r="B39" s="57" t="n">
        <ns0:v>2023</ns0:v>
      </ns0:c>
      <ns0:c r="C39" s="57" t="str">
        <ns0:v>network_transactions</ns0:v>
      </ns0:c>
      <ns0:c r="D39" s="67" t="n">
        <ns0:v>143196</ns0:v>
      </ns0:c>
      <ns0:c r="E39" s="67" t="n">
        <ns0:v>1000000</ns0:v>
      </ns0:c>
      <ns0:c r="F39" s="68" t="str">
        <ns0:v>reported</ns0:v>
      </ns0:c>
      <ns0:c r="G39" s="68" t="str">
        <ns0:v>8</ns0:v>
      </ns0:c>
      <ns0:c r="H39" s="68" t="str">
        <ns0:v>data/raw/industry_supplements/mastercard_2023_supplement.pdf</ns0:v>
      </ns0:c>
      <ns0:c r="I39" s="68" t="str">
        <ns0:v>https://s25.q4cdn.com/479285134/files/doc_financials/2023/q4/4Q23-Mastercard-Supplemental-Operational-Performance-Data.pdf</ns0:v>
      </ns0:c>
      <ns0:c r="J39" s="68" t="str">
        <ns0:v>Transactions initiated and switched through Mastercard network</ns0:v>
      </ns0:c>
      <ns0:c r="K39" s="57"/>
      <ns0:c r="L39" s="57"/>
    </ns0:row>
    <ns0:row r="40" ht="110" customHeight="1">
      <ns0:c r="A40" s="57" t="str">
        <ns0:v>mastercard</ns0:v>
      </ns0:c>
      <ns0:c r="B40" s="57" t="n">
        <ns0:v>2024</ns0:v>
      </ns0:c>
      <ns0:c r="C40" s="57" t="str">
        <ns0:v>payment_volume</ns0:v>
      </ns0:c>
      <ns0:c r="D40" s="67" t="n">
        <ns0:v>8003</ns0:v>
      </ns0:c>
      <ns0:c r="E40" s="67" t="n">
        <ns0:v>1000000000</ns0:v>
      </ns0:c>
      <ns0:c r="F40" s="68" t="str">
        <ns0:v>reported_nominal_USD</ns0:v>
      </ns0:c>
      <ns0:c r="G40" s="68" t="str">
        <ns0:v>2</ns0:v>
      </ns0:c>
      <ns0:c r="H40" s="68" t="str">
        <ns0:v>data/raw/industry_supplements/mastercard_2025_supplement.pdf</ns0:v>
      </ns0:c>
      <ns0:c r="I40" s="68" t="str">
        <ns0:v>https://s25.q4cdn.com/479285134/files/doc_financials/2025/q4/4Q25-Mastercard-Supplemental-Operational-Performance-Data.pdf</ns0:v>
      </ns0:c>
      <ns0:c r="J40" s="68" t="str">
        <ns0:v>Worldwide Mastercard credit, charge, debit and prepaid purchases, excluding cash, Maestro and Cirrus</ns0:v>
      </ns0:c>
      <ns0:c r="K40" s="57"/>
      <ns0:c r="L40" s="57"/>
    </ns0:row>
    <ns0:row r="41" ht="110" customHeight="1">
      <ns0:c r="A41" s="57" t="str">
        <ns0:v>mastercard</ns0:v>
      </ns0:c>
      <ns0:c r="B41" s="57" t="n">
        <ns0:v>2024</ns0:v>
      </ns0:c>
      <ns0:c r="C41" s="57" t="str">
        <ns0:v>network_transactions</ns0:v>
      </ns0:c>
      <ns0:c r="D41" s="67" t="n">
        <ns0:v>159424</ns0:v>
      </ns0:c>
      <ns0:c r="E41" s="67" t="n">
        <ns0:v>1000000</ns0:v>
      </ns0:c>
      <ns0:c r="F41" s="68" t="str">
        <ns0:v>reported</ns0:v>
      </ns0:c>
      <ns0:c r="G41" s="68" t="str">
        <ns0:v>8</ns0:v>
      </ns0:c>
      <ns0:c r="H41" s="68" t="str">
        <ns0:v>data/raw/industry_supplements/mastercard_2025_supplement.pdf</ns0:v>
      </ns0:c>
      <ns0:c r="I41" s="68" t="str">
        <ns0:v>https://s25.q4cdn.com/479285134/files/doc_financials/2025/q4/4Q25-Mastercard-Supplemental-Operational-Performance-Data.pdf</ns0:v>
      </ns0:c>
      <ns0:c r="J41" s="68" t="str">
        <ns0:v>Transactions initiated and switched through Mastercard network</ns0:v>
      </ns0:c>
      <ns0:c r="K41" s="57"/>
      <ns0:c r="L41" s="57"/>
    </ns0:row>
    <ns0:row r="42" ht="110" customHeight="1">
      <ns0:c r="A42" s="57" t="str">
        <ns0:v>mastercard</ns0:v>
      </ns0:c>
      <ns0:c r="B42" s="57" t="n">
        <ns0:v>2025</ns0:v>
      </ns0:c>
      <ns0:c r="C42" s="57" t="str">
        <ns0:v>payment_volume</ns0:v>
      </ns0:c>
      <ns0:c r="D42" s="67" t="n">
        <ns0:v>8799</ns0:v>
      </ns0:c>
      <ns0:c r="E42" s="67" t="n">
        <ns0:v>1000000000</ns0:v>
      </ns0:c>
      <ns0:c r="F42" s="68" t="str">
        <ns0:v>reported_nominal_USD</ns0:v>
      </ns0:c>
      <ns0:c r="G42" s="68" t="str">
        <ns0:v>2</ns0:v>
      </ns0:c>
      <ns0:c r="H42" s="68" t="str">
        <ns0:v>data/raw/industry_supplements/mastercard_2025_supplement.pdf</ns0:v>
      </ns0:c>
      <ns0:c r="I42" s="68" t="str">
        <ns0:v>https://s25.q4cdn.com/479285134/files/doc_financials/2025/q4/4Q25-Mastercard-Supplemental-Operational-Performance-Data.pdf</ns0:v>
      </ns0:c>
      <ns0:c r="J42" s="68" t="str">
        <ns0:v>Worldwide Mastercard credit, charge, debit and prepaid purchases, excluding cash, Maestro and Cirrus</ns0:v>
      </ns0:c>
      <ns0:c r="K42" s="57"/>
      <ns0:c r="L42" s="57"/>
    </ns0:row>
    <ns0:row r="43" ht="110" customHeight="1">
      <ns0:c r="A43" s="57" t="str">
        <ns0:v>mastercard</ns0:v>
      </ns0:c>
      <ns0:c r="B43" s="57" t="n">
        <ns0:v>2025</ns0:v>
      </ns0:c>
      <ns0:c r="C43" s="57" t="str">
        <ns0:v>network_transactions</ns0:v>
      </ns0:c>
      <ns0:c r="D43" s="67" t="n">
        <ns0:v>175464</ns0:v>
      </ns0:c>
      <ns0:c r="E43" s="67" t="n">
        <ns0:v>1000000</ns0:v>
      </ns0:c>
      <ns0:c r="F43" s="68" t="str">
        <ns0:v>reported</ns0:v>
      </ns0:c>
      <ns0:c r="G43" s="68" t="str">
        <ns0:v>8</ns0:v>
      </ns0:c>
      <ns0:c r="H43" s="68" t="str">
        <ns0:v>data/raw/industry_supplements/mastercard_2025_supplement.pdf</ns0:v>
      </ns0:c>
      <ns0:c r="I43" s="68" t="str">
        <ns0:v>https://s25.q4cdn.com/479285134/files/doc_financials/2025/q4/4Q25-Mastercard-Supplemental-Operational-Performance-Data.pdf</ns0:v>
      </ns0:c>
      <ns0:c r="J43" s="68" t="str">
        <ns0:v>Transactions initiated and switched through Mastercard network</ns0:v>
      </ns0:c>
      <ns0:c r="K43" s="57"/>
      <ns0:c r="L43" s="57"/>
    </ns0:row>
    <ns0:row r="44" ht="110" customHeight="1">
      <ns0:c r="A44" s="57" t="str">
        <ns0:v>visa</ns0:v>
      </ns0:c>
      <ns0:c r="B44" s="57" t="n">
        <ns0:v>2021</ns0:v>
      </ns0:c>
      <ns0:c r="C44" s="57" t="str">
        <ns0:v>customer_incentives</ns0:v>
      </ns0:c>
      <ns0:c r="D44" s="67" t="n">
        <ns0:v>8367</ns0:v>
      </ns0:c>
      <ns0:c r="E44" s="67" t="n">
        <ns0:v>1000000</ns0:v>
      </ns0:c>
      <ns0:c r="F44" s="68" t="str">
        <ns0:v>reported_contra_revenue_positive_magnitude</ns0:v>
      </ns0:c>
      <ns0:c r="G44" s="68" t="str">
        <ns0:v>53</ns0:v>
      </ns0:c>
      <ns0:c r="H44" s="68" t="str">
        <ns0:v>data/raw/issuer_reports/visa/FY2023_annual_report.pdf</ns0:v>
      </ns0:c>
      <ns0:c r="I44" s="68" t="str">
        <ns0:v>https://s29.q4cdn.com/385744025/files/doc_downloads/2023/Visa-Inc-Fiscal-2023-Annual-Report.pdf</ns0:v>
      </ns0:c>
      <ns0:c r="J44" s="68" t="str">
        <ns0:v>Visa consolidated client incentives deducted from revenue</ns0:v>
      </ns0:c>
      <ns0:c r="K44" s="57"/>
      <ns0:c r="L44" s="57"/>
    </ns0:row>
    <ns0:row r="45" ht="110" customHeight="1">
      <ns0:c r="A45" s="57" t="str">
        <ns0:v>mastercard</ns0:v>
      </ns0:c>
      <ns0:c r="B45" s="57" t="n">
        <ns0:v>2021</ns0:v>
      </ns0:c>
      <ns0:c r="C45" s="57" t="str">
        <ns0:v>customer_incentives</ns0:v>
      </ns0:c>
      <ns0:c r="D45" s="67" t="n">
        <ns0:v>10476</ns0:v>
      </ns0:c>
      <ns0:c r="E45" s="67" t="n">
        <ns0:v>1000000</ns0:v>
      </ns0:c>
      <ns0:c r="F45" s="68" t="str">
        <ns0:v>derived_assessments_less_network_net_revenue</ns0:v>
      </ns0:c>
      <ns0:c r="G45" s="68" t="str">
        <ns0:v>55, 56</ns0:v>
      </ns0:c>
      <ns0:c r="H45" s="68" t="str">
        <ns0:v>data/raw/issuer_reports/mastercard/FY2023_annual_report.pdf</ns0:v>
      </ns0:c>
      <ns0:c r="I45" s="68" t="str">
        <ns0:v>https://s25.q4cdn.com/479285134/files/doc_financials/2023/AR/2023-annual-report.pdf</ns0:v>
      </ns0:c>
      <ns0:c r="J45" s="68" t="str">
        <ns0:v>Mastercard payment-network revenue deductions; excludes value-added services and solutions</ns0:v>
      </ns0:c>
      <ns0:c r="K45" s="57"/>
      <ns0:c r="L45" s="57"/>
    </ns0:row>
    <ns0:row r="46" ht="110" customHeight="1">
      <ns0:c r="A46" s="57" t="str">
        <ns0:v>visa</ns0:v>
      </ns0:c>
      <ns0:c r="B46" s="57" t="n">
        <ns0:v>2022</ns0:v>
      </ns0:c>
      <ns0:c r="C46" s="57" t="str">
        <ns0:v>customer_incentives</ns0:v>
      </ns0:c>
      <ns0:c r="D46" s="67" t="n">
        <ns0:v>10295</ns0:v>
      </ns0:c>
      <ns0:c r="E46" s="67" t="n">
        <ns0:v>1000000</ns0:v>
      </ns0:c>
      <ns0:c r="F46" s="68" t="str">
        <ns0:v>reported_contra_revenue_positive_magnitude</ns0:v>
      </ns0:c>
      <ns0:c r="G46" s="68" t="str">
        <ns0:v>53</ns0:v>
      </ns0:c>
      <ns0:c r="H46" s="68" t="str">
        <ns0:v>data/raw/issuer_reports/visa/FY2023_annual_report.pdf</ns0:v>
      </ns0:c>
      <ns0:c r="I46" s="68" t="str">
        <ns0:v>https://s29.q4cdn.com/385744025/files/doc_downloads/2023/Visa-Inc-Fiscal-2023-Annual-Report.pdf</ns0:v>
      </ns0:c>
      <ns0:c r="J46" s="68" t="str">
        <ns0:v>Visa consolidated client incentives deducted from revenue</ns0:v>
      </ns0:c>
      <ns0:c r="K46" s="57"/>
      <ns0:c r="L46" s="57"/>
    </ns0:row>
    <ns0:row r="47" ht="110" customHeight="1">
      <ns0:c r="A47" s="57" t="str">
        <ns0:v>mastercard</ns0:v>
      </ns0:c>
      <ns0:c r="B47" s="57" t="n">
        <ns0:v>2022</ns0:v>
      </ns0:c>
      <ns0:c r="C47" s="57" t="str">
        <ns0:v>customer_incentives</ns0:v>
      </ns0:c>
      <ns0:c r="D47" s="67" t="n">
        <ns0:v>12445</ns0:v>
      </ns0:c>
      <ns0:c r="E47" s="67" t="n">
        <ns0:v>1000000</ns0:v>
      </ns0:c>
      <ns0:c r="F47" s="68" t="str">
        <ns0:v>derived_assessments_less_network_net_revenue</ns0:v>
      </ns0:c>
      <ns0:c r="G47" s="68" t="str">
        <ns0:v>55, 56</ns0:v>
      </ns0:c>
      <ns0:c r="H47" s="68" t="str">
        <ns0:v>data/raw/issuer_reports/mastercard/FY2023_annual_report.pdf</ns0:v>
      </ns0:c>
      <ns0:c r="I47" s="68" t="str">
        <ns0:v>https://s25.q4cdn.com/479285134/files/doc_financials/2023/AR/2023-annual-report.pdf</ns0:v>
      </ns0:c>
      <ns0:c r="J47" s="68" t="str">
        <ns0:v>Mastercard payment-network revenue deductions; excludes value-added services and solutions</ns0:v>
      </ns0:c>
      <ns0:c r="K47" s="57"/>
      <ns0:c r="L47" s="57"/>
    </ns0:row>
    <ns0:row r="48" ht="110" customHeight="1">
      <ns0:c r="A48" s="57" t="str">
        <ns0:v>visa</ns0:v>
      </ns0:c>
      <ns0:c r="B48" s="57" t="n">
        <ns0:v>2023</ns0:v>
      </ns0:c>
      <ns0:c r="C48" s="57" t="str">
        <ns0:v>customer_incentives</ns0:v>
      </ns0:c>
      <ns0:c r="D48" s="67" t="n">
        <ns0:v>12297</ns0:v>
      </ns0:c>
      <ns0:c r="E48" s="67" t="n">
        <ns0:v>1000000</ns0:v>
      </ns0:c>
      <ns0:c r="F48" s="68" t="str">
        <ns0:v>reported_contra_revenue_positive_magnitude</ns0:v>
      </ns0:c>
      <ns0:c r="G48" s="68" t="str">
        <ns0:v>53</ns0:v>
      </ns0:c>
      <ns0:c r="H48" s="68" t="str">
        <ns0:v>data/raw/issuer_reports/visa/FY2023_annual_report.pdf</ns0:v>
      </ns0:c>
      <ns0:c r="I48" s="68" t="str">
        <ns0:v>https://s29.q4cdn.com/385744025/files/doc_downloads/2023/Visa-Inc-Fiscal-2023-Annual-Report.pdf</ns0:v>
      </ns0:c>
      <ns0:c r="J48" s="68" t="str">
        <ns0:v>Visa consolidated client incentives deducted from revenue</ns0:v>
      </ns0:c>
      <ns0:c r="K48" s="57"/>
      <ns0:c r="L48" s="57"/>
    </ns0:row>
    <ns0:row r="49" ht="110" customHeight="1">
      <ns0:c r="A49" s="57" t="str">
        <ns0:v>mastercard</ns0:v>
      </ns0:c>
      <ns0:c r="B49" s="57" t="n">
        <ns0:v>2023</ns0:v>
      </ns0:c>
      <ns0:c r="C49" s="57" t="str">
        <ns0:v>customer_incentives</ns0:v>
      </ns0:c>
      <ns0:c r="D49" s="67" t="n">
        <ns0:v>15181</ns0:v>
      </ns0:c>
      <ns0:c r="E49" s="67" t="n">
        <ns0:v>1000000</ns0:v>
      </ns0:c>
      <ns0:c r="F49" s="68" t="str">
        <ns0:v>derived_assessments_less_network_net_revenue</ns0:v>
      </ns0:c>
      <ns0:c r="G49" s="68" t="str">
        <ns0:v>55, 56</ns0:v>
      </ns0:c>
      <ns0:c r="H49" s="68" t="str">
        <ns0:v>data/raw/issuer_reports/mastercard/FY2023_annual_report.pdf</ns0:v>
      </ns0:c>
      <ns0:c r="I49" s="68" t="str">
        <ns0:v>https://s25.q4cdn.com/479285134/files/doc_financials/2023/AR/2023-annual-report.pdf</ns0:v>
      </ns0:c>
      <ns0:c r="J49" s="68" t="str">
        <ns0:v>Mastercard payment-network revenue deductions; excludes value-added services and solutions</ns0:v>
      </ns0:c>
      <ns0:c r="K49" s="57"/>
      <ns0:c r="L49" s="57"/>
    </ns0:row>
    <ns0:row r="50" ht="110" customHeight="1">
      <ns0:c r="A50" s="57" t="str">
        <ns0:v>visa</ns0:v>
      </ns0:c>
      <ns0:c r="B50" s="57" t="n">
        <ns0:v>2024</ns0:v>
      </ns0:c>
      <ns0:c r="C50" s="57" t="str">
        <ns0:v>customer_incentives</ns0:v>
      </ns0:c>
      <ns0:c r="D50" s="67" t="n">
        <ns0:v>13764</ns0:v>
      </ns0:c>
      <ns0:c r="E50" s="67" t="n">
        <ns0:v>1000000</ns0:v>
      </ns0:c>
      <ns0:c r="F50" s="68" t="str">
        <ns0:v>reported_contra_revenue_positive_magnitude</ns0:v>
      </ns0:c>
      <ns0:c r="G50" s="68" t="str">
        <ns0:v>61</ns0:v>
      </ns0:c>
      <ns0:c r="H50" s="68" t="str">
        <ns0:v>data/raw/issuer_reports/visa/FY2025_annual_report.pdf</ns0:v>
      </ns0:c>
      <ns0:c r="I50" s="68" t="str">
        <ns0:v>https://s29.q4cdn.com/385744025/files/doc_downloads/2025/Visa-Fiscal-2025-Annual-Report.pdf</ns0:v>
      </ns0:c>
      <ns0:c r="J50" s="68" t="str">
        <ns0:v>Visa consolidated client incentives deducted from revenue</ns0:v>
      </ns0:c>
      <ns0:c r="K50" s="57"/>
      <ns0:c r="L50" s="57"/>
    </ns0:row>
    <ns0:row r="51" ht="110" customHeight="1">
      <ns0:c r="A51" s="57" t="str">
        <ns0:v>mastercard</ns0:v>
      </ns0:c>
      <ns0:c r="B51" s="57" t="n">
        <ns0:v>2024</ns0:v>
      </ns0:c>
      <ns0:c r="C51" s="57" t="str">
        <ns0:v>customer_incentives</ns0:v>
      </ns0:c>
      <ns0:c r="D51" s="67" t="n">
        <ns0:v>17629</ns0:v>
      </ns0:c>
      <ns0:c r="E51" s="67" t="n">
        <ns0:v>1000000</ns0:v>
      </ns0:c>
      <ns0:c r="F51" s="68" t="str">
        <ns0:v>derived_assessments_less_network_net_revenue</ns0:v>
      </ns0:c>
      <ns0:c r="G51" s="68" t="str">
        <ns0:v>56, 57</ns0:v>
      </ns0:c>
      <ns0:c r="H51" s="68" t="str">
        <ns0:v>data/raw/issuer_reports/mastercard/FY2025_annual_report.pdf</ns0:v>
      </ns0:c>
      <ns0:c r="I51" s="68" t="str">
        <ns0:v>https://s25.q4cdn.com/479285134/files/doc_financials/2025/q4/MA-12-31-2025-10-K-as-filed-with-standard-exhibits.pdf</ns0:v>
      </ns0:c>
      <ns0:c r="J51" s="68" t="str">
        <ns0:v>Mastercard payment-network revenue deductions; excludes value-added services and solutions</ns0:v>
      </ns0:c>
      <ns0:c r="K51" s="57"/>
      <ns0:c r="L51" s="57"/>
    </ns0:row>
    <ns0:row r="52" ht="110" customHeight="1">
      <ns0:c r="A52" s="57" t="str">
        <ns0:v>visa</ns0:v>
      </ns0:c>
      <ns0:c r="B52" s="57" t="n">
        <ns0:v>2025</ns0:v>
      </ns0:c>
      <ns0:c r="C52" s="57" t="str">
        <ns0:v>customer_incentives</ns0:v>
      </ns0:c>
      <ns0:c r="D52" s="67" t="n">
        <ns0:v>15751</ns0:v>
      </ns0:c>
      <ns0:c r="E52" s="67" t="n">
        <ns0:v>1000000</ns0:v>
      </ns0:c>
      <ns0:c r="F52" s="68" t="str">
        <ns0:v>reported_contra_revenue_positive_magnitude</ns0:v>
      </ns0:c>
      <ns0:c r="G52" s="68" t="str">
        <ns0:v>61</ns0:v>
      </ns0:c>
      <ns0:c r="H52" s="68" t="str">
        <ns0:v>data/raw/issuer_reports/visa/FY2025_annual_report.pdf</ns0:v>
      </ns0:c>
      <ns0:c r="I52" s="68" t="str">
        <ns0:v>https://s29.q4cdn.com/385744025/files/doc_downloads/2025/Visa-Fiscal-2025-Annual-Report.pdf</ns0:v>
      </ns0:c>
      <ns0:c r="J52" s="68" t="str">
        <ns0:v>Visa consolidated client incentives deducted from revenue</ns0:v>
      </ns0:c>
      <ns0:c r="K52" s="57"/>
      <ns0:c r="L52" s="57"/>
    </ns0:row>
    <ns0:row r="53" ht="110" customHeight="1">
      <ns0:c r="A53" s="57" t="str">
        <ns0:v>mastercard</ns0:v>
      </ns0:c>
      <ns0:c r="B53" s="57" t="n">
        <ns0:v>2025</ns0:v>
      </ns0:c>
      <ns0:c r="C53" s="57" t="str">
        <ns0:v>customer_incentives</ns0:v>
      </ns0:c>
      <ns0:c r="D53" s="67" t="n">
        <ns0:v>20522</ns0:v>
      </ns0:c>
      <ns0:c r="E53" s="67" t="n">
        <ns0:v>1000000</ns0:v>
      </ns0:c>
      <ns0:c r="F53" s="68" t="str">
        <ns0:v>derived_assessments_less_network_net_revenue</ns0:v>
      </ns0:c>
      <ns0:c r="G53" s="68" t="str">
        <ns0:v>56, 57</ns0:v>
      </ns0:c>
      <ns0:c r="H53" s="68" t="str">
        <ns0:v>data/raw/issuer_reports/mastercard/FY2025_annual_report.pdf</ns0:v>
      </ns0:c>
      <ns0:c r="I53" s="68" t="str">
        <ns0:v>https://s25.q4cdn.com/479285134/files/doc_financials/2025/q4/MA-12-31-2025-10-K-as-filed-with-standard-exhibits.pdf</ns0:v>
      </ns0:c>
      <ns0:c r="J53" s="68" t="str">
        <ns0:v>Mastercard payment-network revenue deductions; excludes value-added services and solutions</ns0:v>
      </ns0:c>
      <ns0:c r="K53" s="57"/>
      <ns0:c r="L53" s="57"/>
    </ns0:row>
    <ns0:row r="54">
      <ns0:c r="A54" s="57"/>
      <ns0:c r="B54" s="57"/>
      <ns0:c r="C54" s="57"/>
      <ns0:c r="D54" s="57"/>
      <ns0:c r="E54" s="57"/>
      <ns0:c r="F54" s="57"/>
      <ns0:c r="G54" s="57"/>
      <ns0:c r="H54" s="57"/>
      <ns0:c r="I54" s="57"/>
      <ns0:c r="J54" s="57"/>
      <ns0:c r="K54" s="57"/>
      <ns0:c r="L54" s="57"/>
    </ns0:row>
    <ns0:row r="55">
      <ns0:c r="A55" s="57"/>
      <ns0:c r="B55" s="57"/>
      <ns0:c r="C55" s="57"/>
      <ns0:c r="D55" s="57"/>
      <ns0:c r="E55" s="57"/>
      <ns0:c r="F55" s="57"/>
      <ns0:c r="G55" s="57"/>
      <ns0:c r="H55" s="57"/>
      <ns0:c r="I55" s="57"/>
      <ns0:c r="J55" s="57"/>
      <ns0:c r="K55" s="57"/>
      <ns0:c r="L55" s="57"/>
    </ns0:row>
  </ns0:sheetData>
  <ns0:pageMargins left="0.7" right="0.7" top="0.75" bottom="0.75" header="0.3" footer="0.3"/>
</ns0:worksheet>
</file>

<file path=xl/worksheets/sheet1.xml><?xml version="1.0" encoding="utf-8"?>
<x:worksheet xmlns:x="http://schemas.openxmlformats.org/spreadsheetml/2006/main">
  <x:sheetPr>
    <x:tabColor rgb="FF203E62"/>
  </x:sheetPr>
  <x:sheetViews>
    <x:sheetView showGridLines="0" workbookViewId="0"/>
  </x:sheetViews>
  <x:sheetFormatPr defaultRowHeight="15"/>
  <x:cols>
    <x:col min="1" max="1" width="3" hidden="0" customWidth="1"/>
    <x:col min="2" max="2" width="37" hidden="0" customWidth="1"/>
    <x:col min="3" max="3" width="18" hidden="0" customWidth="1"/>
    <x:col min="4" max="4" width="18" hidden="0" customWidth="1"/>
    <x:col min="5" max="5" width="3" hidden="0" customWidth="1"/>
    <x:col min="6" max="6" width="3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8" hidden="0" customWidth="1"/>
    <x:col min="12" max="12" width="8" hidden="0" customWidth="1"/>
  </x:cols>
  <x:sheetData>
    <x:row r="2" ht="23" customHeight="1">
      <x:c r="B2" s="3" t="str">
        <x:v>Financial KPI and scenario model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B3" s="12"/>
      <x:c r="C3" s="12"/>
      <x:c r="D3" s="12"/>
      <x:c r="E3" s="12"/>
      <x:c r="F3" s="12"/>
      <x:c r="G3" s="12"/>
      <x:c r="H3" s="12"/>
      <x:c r="I3" s="12"/>
      <x:c r="J3" s="12"/>
      <x:c r="K3" s="2"/>
      <x:c r="L3" s="2"/>
    </x:row>
    <x:row r="4" ht="23" customHeight="1">
      <x:c r="B4" s="2" t="str">
        <x:v>Case Selected:</x:v>
      </x:c>
      <x:c r="C4" s="32" t="n">
        <x:v>1</x:v>
      </x:c>
      <x:c r="D4" s="34" t="str">
        <x:f>IF(C4=1,"Base",IF(C4=2,"Downside",IF(C4=3,"Upside","Invalid case")))</x:f>
        <x:v>Base</x:v>
      </x:c>
      <x:c r="E4" s="2"/>
      <x:c r="F4" s="2"/>
      <x:c r="G4" s="2" t="str">
        <x:v>1 Base   2 Downside   3 Upside</x:v>
      </x:c>
      <x:c r="H4" s="2"/>
      <x:c r="I4" s="2"/>
      <x:c r="J4" s="2"/>
      <x:c r="K4" s="2"/>
      <x:c r="L4" s="2"/>
    </x:row>
    <x:row r="5" ht="23" customHeight="1">
      <x:c r="B5" s="35" t="str">
        <x:v>Hypothetical next own fiscal year after FY2025. Not guidance, budget or actual FY2026.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7" customHeight="1">
      <x:c r="B7" s="6" t="str">
        <x:v>Selected result</x:v>
      </x:c>
      <x:c r="C7" s="6" t="str">
        <x:v>Visa</x:v>
      </x:c>
      <x:c r="D7" s="6" t="str">
        <x:v>Mastercard</x:v>
      </x:c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B8" s="2" t="str">
        <x:v>FY2025 baseline end</x:v>
      </x:c>
      <x:c r="C8" s="7" t="n">
        <x:f>'Historical KPIs'!G10</x:f>
        <x:v>45930</x:v>
      </x:c>
      <x:c r="D8" s="7" t="n">
        <x:f>'Historical KPIs'!G48</x:f>
        <x:v>46022</x:v>
      </x:c>
      <x:c r="E8" s="2"/>
      <x:c r="F8" s="2"/>
      <x:c r="G8" s="2" t="str">
        <x:v>Issuer</x:v>
      </x:c>
      <x:c r="H8" s="2" t="str">
        <x:v>FY2025 actual</x:v>
      </x:c>
      <x:c r="I8" s="2" t="str">
        <x:v>Selected scenario</x:v>
      </x:c>
      <x:c r="J8" s="2"/>
      <x:c r="K8" s="2"/>
      <x:c r="L8" s="2"/>
    </x:row>
    <x:row r="9" ht="23" customHeight="1">
      <x:c r="B9" s="2" t="str">
        <x:v>Hypothetical period end</x:v>
      </x:c>
      <x:c r="C9" s="7" t="n">
        <x:f>DATE(YEAR(C8)+1,MONTH(C8),DAY(C8))</x:f>
        <x:v>46295</x:v>
      </x:c>
      <x:c r="D9" s="7" t="n">
        <x:f>DATE(YEAR(D8)+1,MONTH(D8),DAY(D8))</x:f>
        <x:v>46387</x:v>
      </x:c>
      <x:c r="E9" s="2"/>
      <x:c r="F9" s="2"/>
      <x:c r="G9" s="2" t="str">
        <x:v>Visa</x:v>
      </x:c>
      <x:c r="H9" s="36" t="n">
        <x:f>C31</x:f>
        <x:v>23994</x:v>
      </x:c>
      <x:c r="I9" s="36" t="n">
        <x:f>C37</x:f>
        <x:v>26400</x:v>
      </x:c>
      <x:c r="J9" s="2"/>
      <x:c r="K9" s="2"/>
      <x:c r="L9" s="2"/>
    </x:row>
    <x:row r="10" ht="23" customHeight="1">
      <x:c r="B10" s="2" t="str">
        <x:v>Scenario revenue (USDm)</x:v>
      </x:c>
      <x:c r="C10" s="36" t="n">
        <x:f>C35</x:f>
        <x:v>44000</x:v>
      </x:c>
      <x:c r="D10" s="36" t="n">
        <x:f>D35</x:f>
        <x:v>36725.920000000006</x:v>
      </x:c>
      <x:c r="E10" s="2"/>
      <x:c r="F10" s="2"/>
      <x:c r="G10" s="2" t="str">
        <x:v>Mastercard</x:v>
      </x:c>
      <x:c r="H10" s="36" t="n">
        <x:f>D31</x:f>
        <x:v>18897</x:v>
      </x:c>
      <x:c r="I10" s="36" t="n">
        <x:f>D37</x:f>
        <x:v>21301.033600000002</x:v>
      </x:c>
      <x:c r="J10" s="2"/>
      <x:c r="K10" s="2"/>
      <x:c r="L10" s="2"/>
    </x:row>
    <x:row r="11" ht="23" customHeight="1">
      <x:c r="B11" s="2" t="str">
        <x:v>Scenario operating income (USDm)</x:v>
      </x:c>
      <x:c r="C11" s="36" t="n">
        <x:f>C37</x:f>
        <x:v>26400</x:v>
      </x:c>
      <x:c r="D11" s="36" t="n">
        <x:f>D37</x:f>
        <x:v>21301.033600000002</x:v>
      </x:c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B12" s="2" t="str">
        <x:v>Scenario operating margin</x:v>
      </x:c>
      <x:c r="C12" s="38" t="n">
        <x:f>C38</x:f>
        <x:v>0.6</x:v>
      </x:c>
      <x:c r="D12" s="38" t="n">
        <x:f>D38</x:f>
        <x:v>0.58</x:v>
      </x:c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B13" s="2" t="str">
        <x:v>Op income change vs FY25 (USDm)</x:v>
      </x:c>
      <x:c r="C13" s="36" t="n">
        <x:f>C39</x:f>
        <x:v>2406</x:v>
      </x:c>
      <x:c r="D13" s="36" t="n">
        <x:f>D39</x:f>
        <x:v>2404.0336000000025</x:v>
      </x:c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B14" s="2" t="str">
        <x:v>Revenue change vs FY25 (USDm)</x:v>
      </x:c>
      <x:c r="C14" s="36" t="n">
        <x:f>C40</x:f>
        <x:v>4000</x:v>
      </x:c>
      <x:c r="D14" s="36" t="n">
        <x:f>D40</x:f>
        <x:v>3934.9200000000055</x:v>
      </x:c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B17" s="17" t="str">
        <x:v>Editable assumptions</x:v>
      </x:c>
      <x:c r="C17" s="17"/>
      <x:c r="D17" s="17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B18" s="2"/>
      <x:c r="C18" s="2"/>
      <x:c r="D18" s="2"/>
      <x:c r="E18" s="2"/>
      <x:c r="F18" s="2"/>
      <x:c r="G18" s="2" t="str">
        <x:v>Amber cells: edit assumptions.</x:v>
      </x:c>
      <x:c r="H18" s="2"/>
      <x:c r="I18" s="2"/>
      <x:c r="J18" s="2"/>
      <x:c r="K18" s="2"/>
      <x:c r="L18" s="2"/>
    </x:row>
    <x:row r="19" ht="23" customHeight="1">
      <x:c r="B19" s="2" t="str">
        <x:v>Revenue growth: Active Selection</x:v>
      </x:c>
      <x:c r="C19" s="43" t="n">
        <x:f>IF(AND(ISNUMBER($C$4),OR($C$4=1,$C$4=2,$C$4=3)),IF(CHOOSE($C$4,ISNUMBER(C20),ISNUMBER(C21),ISNUMBER(C22)),IF(CHOOSE($C$4,C20,C21,C22)&gt;=-1,CHOOSE($C$4,C20,C21,C22),"n.a."),"n.a."),"n.a.")</x:f>
        <x:v>0.1</x:v>
      </x:c>
      <x:c r="D19" s="43" t="n">
        <x:f>IF(AND(ISNUMBER($C$4),OR($C$4=1,$C$4=2,$C$4=3)),IF(CHOOSE($C$4,ISNUMBER(D20),ISNUMBER(D21),ISNUMBER(D22)),IF(CHOOSE($C$4,D20,D21,D22)&gt;=-1,CHOOSE($C$4,D20,D21,D22),"n.a."),"n.a."),"n.a.")</x:f>
        <x:v>0.12</x:v>
      </x:c>
      <x:c r="E19" s="2"/>
      <x:c r="F19" s="2"/>
      <x:c r="G19" s="2" t="str">
        <x:v>Active rows select one case.</x:v>
      </x:c>
      <x:c r="H19" s="2"/>
      <x:c r="I19" s="2"/>
      <x:c r="J19" s="2"/>
      <x:c r="K19" s="2"/>
      <x:c r="L19" s="2"/>
    </x:row>
    <x:row r="20" ht="23" customHeight="1">
      <x:c r="B20" s="2" t="str">
        <x:v>Base growth</x:v>
      </x:c>
      <x:c r="C20" s="40" t="n">
        <x:v>0.1</x:v>
      </x:c>
      <x:c r="D20" s="40" t="n">
        <x:v>0.12</x:v>
      </x:c>
      <x:c r="E20" s="2"/>
      <x:c r="F20" s="2"/>
      <x:c r="G20" s="2" t="str">
        <x:v>Costs are implied by revenue and margin.</x:v>
      </x:c>
      <x:c r="H20" s="2"/>
      <x:c r="I20" s="2"/>
      <x:c r="J20" s="2"/>
      <x:c r="K20" s="2"/>
      <x:c r="L20" s="2"/>
    </x:row>
    <x:row r="21" ht="23" customHeight="1">
      <x:c r="B21" s="2" t="str">
        <x:v>Downside growth</x:v>
      </x:c>
      <x:c r="C21" s="40" t="n">
        <x:v>0.04</x:v>
      </x:c>
      <x:c r="D21" s="40" t="n">
        <x:v>0.06</x:v>
      </x:c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B22" s="2" t="str">
        <x:v>Upside growth</x:v>
      </x:c>
      <x:c r="C22" s="40" t="n">
        <x:v>0.14</x:v>
      </x:c>
      <x:c r="D22" s="40" t="n">
        <x:v>0.16</x:v>
      </x:c>
      <x:c r="E22" s="2"/>
      <x:c r="F22" s="2"/>
      <x:c r="G22" s="2" t="str">
        <x:v>Visa operating income (USDm)</x:v>
      </x:c>
      <x:c r="H22" s="2"/>
      <x:c r="I22" s="2"/>
      <x:c r="J22" s="2"/>
      <x:c r="K22" s="2"/>
      <x:c r="L22" s="2"/>
    </x:row>
    <x:row r="23" ht="23" customHeight="1">
      <x:c r="B23" s="2"/>
      <x:c r="C23" s="2"/>
      <x:c r="D23" s="2"/>
      <x:c r="E23" s="2"/>
      <x:c r="F23" s="2"/>
      <x:c r="G23" s="2" t="str">
        <x:v>Growth across; margin down</x:v>
      </x:c>
      <x:c r="H23" s="2"/>
      <x:c r="I23" s="2"/>
      <x:c r="J23" s="2"/>
      <x:c r="K23" s="2"/>
      <x:c r="L23" s="2"/>
    </x:row>
    <x:row r="24" ht="23" customHeight="1">
      <x:c r="B24" s="2" t="str">
        <x:v>Operating margin: Active Selection</x:v>
      </x:c>
      <x:c r="C24" s="43" t="n">
        <x:f>IF(AND(ISNUMBER($C$4),OR($C$4=1,$C$4=2,$C$4=3)),IF(CHOOSE($C$4,ISNUMBER(C25),ISNUMBER(C26),ISNUMBER(C27)),IF(AND(CHOOSE($C$4,C25,C26,C27)&gt;=-1,CHOOSE($C$4,C25,C26,C27)&lt;=1),CHOOSE($C$4,C25,C26,C27),"n.a."),"n.a."),"n.a.")</x:f>
        <x:v>0.6</x:v>
      </x:c>
      <x:c r="D24" s="43" t="n">
        <x:f>IF(AND(ISNUMBER($C$4),OR($C$4=1,$C$4=2,$C$4=3)),IF(CHOOSE($C$4,ISNUMBER(D25),ISNUMBER(D26),ISNUMBER(D27)),IF(AND(CHOOSE($C$4,D25,D26,D27)&gt;=-1,CHOOSE($C$4,D25,D26,D27)&lt;=1),CHOOSE($C$4,D25,D26,D27),"n.a."),"n.a."),"n.a.")</x:f>
        <x:v>0.58</x:v>
      </x:c>
      <x:c r="E24" s="2"/>
      <x:c r="F24" s="2"/>
      <x:c r="G24" s="50" t="n">
        <x:f>C37</x:f>
        <x:v>26400</x:v>
      </x:c>
      <x:c r="H24" s="53" t="n">
        <x:f>C21</x:f>
        <x:v>0.04</x:v>
      </x:c>
      <x:c r="I24" s="53" t="n">
        <x:f>C20</x:f>
        <x:v>0.1</x:v>
      </x:c>
      <x:c r="J24" s="53" t="n">
        <x:f>C22</x:f>
        <x:v>0.14</x:v>
      </x:c>
      <x:c r="K24" s="2"/>
      <x:c r="L24" s="2"/>
    </x:row>
    <x:row r="25" ht="23" customHeight="1">
      <x:c r="B25" s="2" t="str">
        <x:v>Base margin</x:v>
      </x:c>
      <x:c r="C25" s="40" t="n">
        <x:v>0.6</x:v>
      </x:c>
      <x:c r="D25" s="40" t="n">
        <x:v>0.58</x:v>
      </x:c>
      <x:c r="E25" s="2"/>
      <x:c r="F25" s="2"/>
      <x:c r="G25" s="53" t="n">
        <x:f>C26</x:f>
        <x:v>0.56</x:v>
      </x:c>
      <x:c r="H25" s="54" t="n">
        <x:f t="dataTable" ref="H25:J27" dt2D="1" r1="C19" r2="C24"/>
        <x:v>23296.000000000004</x:v>
      </x:c>
      <x:c r="I25" s="54" t="n">
        <x:v>24640.000000000004</x:v>
      </x:c>
      <x:c r="J25" s="54" t="n">
        <x:v>25536.000000000007</x:v>
      </x:c>
      <x:c r="K25" s="2"/>
      <x:c r="L25" s="2"/>
    </x:row>
    <x:row r="26" ht="23" customHeight="1">
      <x:c r="B26" s="2" t="str">
        <x:v>Downside margin</x:v>
      </x:c>
      <x:c r="C26" s="40" t="n">
        <x:v>0.56</x:v>
      </x:c>
      <x:c r="D26" s="40" t="n">
        <x:v>0.54</x:v>
      </x:c>
      <x:c r="E26" s="2"/>
      <x:c r="F26" s="2"/>
      <x:c r="G26" s="53" t="n">
        <x:f>C25</x:f>
        <x:v>0.6</x:v>
      </x:c>
      <x:c r="H26" s="54" t="n">
        <x:v>24960</x:v>
      </x:c>
      <x:c r="I26" s="55" t="n">
        <x:v>26400</x:v>
      </x:c>
      <x:c r="J26" s="54" t="n">
        <x:v>27360.000000000004</x:v>
      </x:c>
      <x:c r="K26" s="2"/>
      <x:c r="L26" s="2"/>
    </x:row>
    <x:row r="27" ht="23" customHeight="1">
      <x:c r="B27" s="2" t="str">
        <x:v>Upside margin</x:v>
      </x:c>
      <x:c r="C27" s="40" t="n">
        <x:v>0.62</x:v>
      </x:c>
      <x:c r="D27" s="40" t="n">
        <x:v>0.6</x:v>
      </x:c>
      <x:c r="E27" s="2"/>
      <x:c r="F27" s="2"/>
      <x:c r="G27" s="53" t="n">
        <x:f>C27</x:f>
        <x:v>0.62</x:v>
      </x:c>
      <x:c r="H27" s="54" t="n">
        <x:v>25792</x:v>
      </x:c>
      <x:c r="I27" s="54" t="n">
        <x:v>27280</x:v>
      </x:c>
      <x:c r="J27" s="54" t="n">
        <x:v>28272.000000000004</x:v>
      </x:c>
      <x:c r="K27" s="2"/>
      <x:c r="L27" s="2"/>
    </x:row>
    <x:row r="28" ht="23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B29" s="17" t="str">
        <x:v>Calculation (USD million)</x:v>
      </x:c>
      <x:c r="C29" s="17"/>
      <x:c r="D29" s="17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B30" s="2" t="str">
        <x:v>FY2025 net revenue</x:v>
      </x:c>
      <x:c r="C30" s="46" t="n">
        <x:f>'Historical KPIs'!G12</x:f>
        <x:v>40000</x:v>
      </x:c>
      <x:c r="D30" s="46" t="n">
        <x:f>'Historical KPIs'!G50</x:f>
        <x:v>32791</x:v>
      </x:c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B31" s="2" t="str">
        <x:v>FY2025 operating income</x:v>
      </x:c>
      <x:c r="C31" s="46" t="n">
        <x:f>'Historical KPIs'!G14</x:f>
        <x:v>23994</x:v>
      </x:c>
      <x:c r="D31" s="46" t="n">
        <x:f>'Historical KPIs'!G52</x:f>
        <x:v>18897</x:v>
      </x:c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B32" s="2" t="str">
        <x:v>FY2025 operating expenses</x:v>
      </x:c>
      <x:c r="C32" s="46" t="n">
        <x:f>'Historical KPIs'!G13</x:f>
        <x:v>16006</x:v>
      </x:c>
      <x:c r="D32" s="46" t="n">
        <x:f>'Historical KPIs'!G51</x:f>
        <x:v>13894</x:v>
      </x:c>
      <x:c r="E32" s="2"/>
      <x:c r="F32" s="2"/>
      <x:c r="G32" s="2" t="str">
        <x:v>Mastercard operating income (USDm)</x:v>
      </x:c>
      <x:c r="H32" s="2"/>
      <x:c r="I32" s="2"/>
      <x:c r="J32" s="2"/>
      <x:c r="K32" s="2"/>
      <x:c r="L32" s="2"/>
    </x:row>
    <x:row r="33" ht="23" customHeight="1">
      <x:c r="B33" s="2" t="str">
        <x:v>Revenue growth input</x:v>
      </x:c>
      <x:c r="C33" s="21" t="n">
        <x:f>C19</x:f>
        <x:v>0.1</x:v>
      </x:c>
      <x:c r="D33" s="21" t="n">
        <x:f>D19</x:f>
        <x:v>0.12</x:v>
      </x:c>
      <x:c r="E33" s="2"/>
      <x:c r="F33" s="2"/>
      <x:c r="G33" s="2" t="str">
        <x:v>Growth across; margin down</x:v>
      </x:c>
      <x:c r="H33" s="2"/>
      <x:c r="I33" s="2"/>
      <x:c r="J33" s="2"/>
      <x:c r="K33" s="2"/>
      <x:c r="L33" s="2"/>
    </x:row>
    <x:row r="34" ht="23" customHeight="1">
      <x:c r="B34" s="2" t="str">
        <x:v>Operating margin input</x:v>
      </x:c>
      <x:c r="C34" s="21" t="n">
        <x:f>C24</x:f>
        <x:v>0.6</x:v>
      </x:c>
      <x:c r="D34" s="21" t="n">
        <x:f>D24</x:f>
        <x:v>0.58</x:v>
      </x:c>
      <x:c r="E34" s="2"/>
      <x:c r="F34" s="2"/>
      <x:c r="G34" s="50" t="n">
        <x:f>D37</x:f>
        <x:v>21301.033600000002</x:v>
      </x:c>
      <x:c r="H34" s="53" t="n">
        <x:f>D21</x:f>
        <x:v>0.06</x:v>
      </x:c>
      <x:c r="I34" s="53" t="n">
        <x:f>D20</x:f>
        <x:v>0.12</x:v>
      </x:c>
      <x:c r="J34" s="53" t="n">
        <x:f>D22</x:f>
        <x:v>0.16</x:v>
      </x:c>
      <x:c r="K34" s="2"/>
      <x:c r="L34" s="2"/>
    </x:row>
    <x:row r="35" ht="23" customHeight="1">
      <x:c r="B35" s="2" t="str">
        <x:v>Scenario revenue</x:v>
      </x:c>
      <x:c r="C35" s="45" t="n">
        <x:f>IF(AND(ISNUMBER(C30),ISNUMBER(C33)),C30*(1+C33),"n.a.")</x:f>
        <x:v>44000</x:v>
      </x:c>
      <x:c r="D35" s="45" t="n">
        <x:f>IF(AND(ISNUMBER(D30),ISNUMBER(D33)),D30*(1+D33),"n.a.")</x:f>
        <x:v>36725.920000000006</x:v>
      </x:c>
      <x:c r="E35" s="2"/>
      <x:c r="F35" s="2"/>
      <x:c r="G35" s="53" t="n">
        <x:f>D26</x:f>
        <x:v>0.54</x:v>
      </x:c>
      <x:c r="H35" s="54" t="n">
        <x:f t="dataTable" ref="H35:J37" dt2D="1" r1="D19" r2="D24"/>
        <x:v>18769.5684</x:v>
      </x:c>
      <x:c r="I35" s="54" t="n">
        <x:v>19831.996800000004</x:v>
      </x:c>
      <x:c r="J35" s="54" t="n">
        <x:v>20540.2824</x:v>
      </x:c>
      <x:c r="K35" s="2"/>
      <x:c r="L35" s="2"/>
    </x:row>
    <x:row r="36" ht="23" customHeight="1">
      <x:c r="B36" s="2" t="str">
        <x:v>Scenario operating expenses</x:v>
      </x:c>
      <x:c r="C36" s="45" t="n">
        <x:f>IF(AND(ISNUMBER(C35),ISNUMBER(C37)),C35-C37,"n.a.")</x:f>
        <x:v>17600</x:v>
      </x:c>
      <x:c r="D36" s="45" t="n">
        <x:f>IF(AND(ISNUMBER(D35),ISNUMBER(D37)),D35-D37,"n.a.")</x:f>
        <x:v>15424.886400000003</x:v>
      </x:c>
      <x:c r="E36" s="2"/>
      <x:c r="F36" s="2"/>
      <x:c r="G36" s="53" t="n">
        <x:f>D25</x:f>
        <x:v>0.58</x:v>
      </x:c>
      <x:c r="H36" s="54" t="n">
        <x:v>20159.906799999997</x:v>
      </x:c>
      <x:c r="I36" s="55" t="n">
        <x:v>21301.033600000002</x:v>
      </x:c>
      <x:c r="J36" s="54" t="n">
        <x:v>22061.784799999998</x:v>
      </x:c>
      <x:c r="K36" s="2"/>
      <x:c r="L36" s="2"/>
    </x:row>
    <x:row r="37" ht="23" customHeight="1">
      <x:c r="B37" s="2" t="str">
        <x:v>Scenario operating income</x:v>
      </x:c>
      <x:c r="C37" s="45" t="n">
        <x:f>IF(AND(ISNUMBER(C35),ISNUMBER(C34)),C35*C34,"n.a.")</x:f>
        <x:v>26400</x:v>
      </x:c>
      <x:c r="D37" s="45" t="n">
        <x:f>IF(AND(ISNUMBER(D35),ISNUMBER(D34)),D35*D34,"n.a.")</x:f>
        <x:v>21301.033600000002</x:v>
      </x:c>
      <x:c r="E37" s="2"/>
      <x:c r="F37" s="2"/>
      <x:c r="G37" s="53" t="n">
        <x:f>D27</x:f>
        <x:v>0.6</x:v>
      </x:c>
      <x:c r="H37" s="54" t="n">
        <x:v>20855.075999999997</x:v>
      </x:c>
      <x:c r="I37" s="54" t="n">
        <x:v>22035.552000000003</x:v>
      </x:c>
      <x:c r="J37" s="54" t="n">
        <x:v>22822.535999999996</x:v>
      </x:c>
      <x:c r="K37" s="2"/>
      <x:c r="L37" s="2"/>
    </x:row>
    <x:row r="38" ht="23" customHeight="1">
      <x:c r="B38" s="2" t="str">
        <x:v>Scenario operating margin</x:v>
      </x:c>
      <x:c r="C38" s="21" t="n">
        <x:f>IF(AND(ISNUMBER(C37),ISNUMBER(C35),C35&gt;0),C37/C35,"n.a.")</x:f>
        <x:v>0.6</x:v>
      </x:c>
      <x:c r="D38" s="21" t="n">
        <x:f>IF(AND(ISNUMBER(D37),ISNUMBER(D35),D35&gt;0),D37/D35,"n.a.")</x:f>
        <x:v>0.58</x:v>
      </x:c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B39" s="2" t="str">
        <x:v>Operating income change vs FY25</x:v>
      </x:c>
      <x:c r="C39" s="45" t="n">
        <x:f>IF(AND(ISNUMBER(C37),ISNUMBER(C31)),C37-C31,"n.a.")</x:f>
        <x:v>2406</x:v>
      </x:c>
      <x:c r="D39" s="45" t="n">
        <x:f>IF(AND(ISNUMBER(D37),ISNUMBER(D31)),D37-D31,"n.a.")</x:f>
        <x:v>2404.0336000000025</x:v>
      </x:c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B40" s="2" t="str">
        <x:v>Revenue change vs FY25</x:v>
      </x:c>
      <x:c r="C40" s="45" t="n">
        <x:f>IF(AND(ISNUMBER(C35),ISNUMBER(C30)),C35-C30,"n.a.")</x:f>
        <x:v>4000</x:v>
      </x:c>
      <x:c r="D40" s="45" t="n">
        <x:f>IF(AND(ISNUMBER(D35),ISNUMBER(D30)),D35-D30,"n.a.")</x:f>
        <x:v>3934.9200000000055</x:v>
      </x:c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B41" s="2" t="str">
        <x:v>Operating income change (%)</x:v>
      </x:c>
      <x:c r="C41" s="21" t="n">
        <x:f>IF(AND(ISNUMBER(C37),ISNUMBER(C31),C31&gt;0),C37/C31-1,"n.a.")</x:f>
        <x:v>0.10027506876719183</x:v>
      </x:c>
      <x:c r="D41" s="21" t="n">
        <x:f>IF(AND(ISNUMBER(D37),ISNUMBER(D31),D31&gt;0),D37/D31-1,"n.a.")</x:f>
        <x:v>0.12721773826533322</x:v>
      </x:c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B42" s="2" t="str">
        <x:v>Implied operating expense change (%)</x:v>
      </x:c>
      <x:c r="C42" s="21" t="n">
        <x:f>IF(AND(ISNUMBER(C36),ISNUMBER(C32),C32&gt;0),C36/C32-1,"n.a.")</x:f>
        <x:v>0.09958765462951402</x:v>
      </x:c>
      <x:c r="D42" s="21" t="n">
        <x:f>IF(AND(ISNUMBER(D36),ISNUMBER(D32),D32&gt;0),D36/D32-1,"n.a.")</x:f>
        <x:v>0.11018327335540534</x:v>
      </x:c>
      <x:c r="E42" s="2"/>
      <x:c r="F42" s="2"/>
      <x:c r="G42" s="2" t="str">
        <x:v>No scenario net income or cash flow is modeled.</x:v>
      </x:c>
      <x:c r="H42" s="2"/>
      <x:c r="I42" s="2"/>
      <x:c r="J42" s="2"/>
      <x:c r="K42" s="2"/>
      <x:c r="L42" s="2"/>
    </x:row>
    <x:row r="43" ht="23" customHeight="1">
      <x:c r="B43" s="2"/>
      <x:c r="C43" s="45"/>
      <x:c r="D43" s="45"/>
      <x:c r="E43" s="2"/>
      <x:c r="F43" s="2"/>
      <x:c r="G43" s="2" t="str">
        <x:v>Changes compare a scenario with FY2025 actuals.</x:v>
      </x:c>
      <x:c r="H43" s="2"/>
      <x:c r="I43" s="2"/>
      <x:c r="J43" s="2"/>
      <x:c r="K43" s="2"/>
      <x:c r="L43" s="2"/>
    </x:row>
    <x:row r="44" ht="23" customHeight="1">
      <x:c r="B44" s="2" t="str">
        <x:v>Revenue - opex - op income</x:v>
      </x:c>
      <x:c r="C44" s="48" t="n">
        <x:f>IF(AND(ISNUMBER(C35),ISNUMBER(C36),ISNUMBER(C37)),C35-C36-C37,"n.a.")</x:f>
        <x:v>0</x:v>
      </x:c>
      <x:c r="D44" s="48" t="n">
        <x:f>IF(AND(ISNUMBER(D35),ISNUMBER(D36),ISNUMBER(D37)),D35-D36-D37,"n.a.")</x:f>
        <x:v>0</x:v>
      </x:c>
      <x:c r="E44" s="2"/>
      <x:c r="F44" s="2"/>
      <x:c r="G44" s="2" t="str">
        <x:v>They are not actual budget variances.</x:v>
      </x:c>
      <x:c r="H44" s="2"/>
      <x:c r="I44" s="2"/>
      <x:c r="J44" s="2"/>
      <x:c r="K44" s="2"/>
      <x:c r="L44" s="2"/>
    </x:row>
    <x:row r="45" ht="23" customHeight="1">
      <x:c r="B45" s="2" t="str">
        <x:v>Reconciliation tolerance (USDm)</x:v>
      </x:c>
      <x:c r="C45" s="49" t="n">
        <x:v>0.01</x:v>
      </x:c>
      <x:c r="D45" s="49" t="n">
        <x:v>0.01</x:v>
      </x:c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conditionalFormatting sqref="C10:D14">
    <x:cfRule type="containsText" dxfId="0" priority="1" operator="containsText" text="n.a."/>
  </x:conditionalFormatting>
  <x:conditionalFormatting sqref="C19:D19">
    <x:cfRule type="containsText" dxfId="1" priority="2" operator="containsText" text="n.a."/>
  </x:conditionalFormatting>
  <x:conditionalFormatting sqref="C24:D24">
    <x:cfRule type="containsText" dxfId="2" priority="3" operator="containsText" text="n.a."/>
  </x:conditionalFormatting>
  <x:conditionalFormatting sqref="C35:D42">
    <x:cfRule type="containsText" dxfId="3" priority="4" operator="containsText" text="n.a."/>
  </x:conditionalFormatting>
  <x:conditionalFormatting sqref="C44:D44">
    <x:cfRule type="expression" dxfId="4" priority="5">
      <x:formula>AND(ISNUMBER(C44),ABS(C44)&gt;C45)</x:formula>
    </x:cfRule>
  </x:conditionalFormatting>
  <x:dataValidations count="3">
    <x:dataValidation type="whole" operator="between" sqref="C4">
      <x:formula1>1</x:formula1>
      <x:formula2>3</x:formula2>
    </x:dataValidation>
    <x:dataValidation type="decimal" operator="greaterThanOrEqual" sqref="C20:D22">
      <x:formula1>-1</x:formula1>
    </x:dataValidation>
    <x:dataValidation type="decimal" operator="between" sqref="C25:D27">
      <x:formula1>-1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768a199b2ad14aa5"/>
</x:worksheet>
</file>

<file path=xl/worksheets/sheet2.xml><?xml version="1.0" encoding="utf-8"?>
<ns0:worksheet xmlns:ns0="http://schemas.openxmlformats.org/spreadsheetml/2006/main">
  <ns0:sheetPr>
    <ns0:tabColor rgb="FF476C92"/>
  </ns0:sheetPr>
  <ns0:sheetViews>
    <ns0:sheetView showGridLines="0" workbookViewId="0">
      <ns0:pane ySplit="10" topLeftCell="A11" activePane="bottomLeft" state="frozen"/>
    </ns0:sheetView>
  </ns0:sheetViews>
  <ns0:sheetFormatPr defaultRowHeight="15"/>
  <ns0:cols>
    <ns0:col min="1" max="1" width="3" hidden="0" customWidth="1"/>
    <ns0:col min="2" max="2" width="40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3" hidden="0" customWidth="1"/>
  </ns0:cols>
  <ns0:sheetData>
    <ns0:row r="2" ht="23" customHeight="1">
      <ns0:c r="B2" s="3" t="str">
        <ns0:v>Historical financial KPIs</ns0:v>
      </ns0:c>
      <ns0:c r="C2" s="2"/>
      <ns0:c r="D2" s="2"/>
      <ns0:c r="E2" s="2"/>
      <ns0:c r="F2" s="2"/>
      <ns0:c r="G2" s="2"/>
      <ns0:c r="H2" s="2"/>
    </ns0:row>
    <ns0:row r="3" ht="23" customHeight="1">
      <ns0:c r="B3" s="13" t="str">
        <ns0:v>Reported fiscal years. Amounts in USD million; ratios are unscaled.</ns0:v>
      </ns0:c>
      <ns0:c r="C3" s="12"/>
      <ns0:c r="D3" s="12"/>
      <ns0:c r="E3" s="12"/>
      <ns0:c r="F3" s="12"/>
      <ns0:c r="G3" s="12"/>
      <ns0:c r="H3" s="2"/>
    </ns0:row>
    <ns0:row r="4" ht="23" customHeight="1">
      <ns0:c r="B4" s="2"/>
      <ns0:c r="C4" s="2"/>
      <ns0:c r="D4" s="2"/>
      <ns0:c r="E4" s="2"/>
      <ns0:c r="F4" s="2"/>
      <ns0:c r="G4" s="2"/>
      <ns0:c r="H4" s="2"/>
    </ns0:row>
    <ns0:row r="5" ht="23" customHeight="1">
      <ns0:c r="B5" s="2" t="str">
        <ns0:v>Case Selected:</ns0:v>
      </ns0:c>
      <ns0:c r="C5" s="14" t="str">
        <ns0:f>'Scenario'!D4</ns0:f>
        <ns0:v>Base</ns0:v>
      </ns0:c>
      <ns0:c r="D5" s="2"/>
      <ns0:c r="E5" s="2"/>
      <ns0:c r="F5" s="2"/>
      <ns0:c r="G5" s="2"/>
      <ns0:c r="H5" s="2"/>
    </ns0:row>
    <ns0:row r="6" ht="23" customHeight="1">
      <ns0:c r="B6" s="2"/>
      <ns0:c r="C6" s="2"/>
      <ns0:c r="D6" s="2"/>
      <ns0:c r="E6" s="2"/>
      <ns0:c r="F6" s="2"/>
      <ns0:c r="G6" s="2"/>
      <ns0:c r="H6" s="2"/>
    </ns0:row>
    <ns0:row r="7" ht="23" customHeight="1">
      <ns0:c r="B7" s="17" t="str">
        <ns0:v>Visa reported fiscal years</ns0:v>
      </ns0:c>
      <ns0:c r="C7" s="17"/>
      <ns0:c r="D7" s="17"/>
      <ns0:c r="E7" s="17"/>
      <ns0:c r="F7" s="17"/>
      <ns0:c r="G7" s="17"/>
      <ns0:c r="H7" s="2"/>
    </ns0:row>
    <ns0:row r="8" ht="27" customHeight="1">
      <ns0:c r="B8" s="6" t="str">
        <ns0:v>Fiscal year</ns0:v>
      </ns0:c>
      <ns0:c r="C8" s="6" t="n">
        <ns0:v>2021</ns0:v>
      </ns0:c>
      <ns0:c r="D8" s="6" t="n">
        <ns0:v>2022</ns0:v>
      </ns0:c>
      <ns0:c r="E8" s="6" t="n">
        <ns0:v>2023</ns0:v>
      </ns0:c>
      <ns0:c r="F8" s="6" t="n">
        <ns0:v>2024</ns0:v>
      </ns0:c>
      <ns0:c r="G8" s="6" t="n">
        <ns0:v>2025</ns0:v>
      </ns0:c>
      <ns0:c r="H8" s="2"/>
    </ns0:row>
    <ns0:row r="9" ht="23" customHeight="1">
      <ns0:c r="B9" s="2" t="str">
        <ns0:v>Period start</ns0:v>
      </ns0:c>
      <ns0:c r="C9" s="7" t="d">
        <ns0:v>2020-10-01T00:00:00.000Z</ns0:v>
      </ns0:c>
      <ns0:c r="D9" s="7" t="d">
        <ns0:v>2021-10-01T00:00:00.000Z</ns0:v>
      </ns0:c>
      <ns0:c r="E9" s="7" t="d">
        <ns0:v>2022-10-01T00:00:00.000Z</ns0:v>
      </ns0:c>
      <ns0:c r="F9" s="7" t="d">
        <ns0:v>2023-10-01T00:00:00.000Z</ns0:v>
      </ns0:c>
      <ns0:c r="G9" s="7" t="d">
        <ns0:v>2024-10-01T00:00:00.000Z</ns0:v>
      </ns0:c>
      <ns0:c r="H9" s="2"/>
    </ns0:row>
    <ns0:row r="10" ht="23" customHeight="1">
      <ns0:c r="B10" s="2" t="str">
        <ns0:v>Period end</ns0:v>
      </ns0:c>
      <ns0:c r="C10" s="7" t="d">
        <ns0:v>2021-09-30T00:00:00.000Z</ns0:v>
      </ns0:c>
      <ns0:c r="D10" s="7" t="d">
        <ns0:v>2022-09-30T00:00:00.000Z</ns0:v>
      </ns0:c>
      <ns0:c r="E10" s="7" t="d">
        <ns0:v>2023-09-30T00:00:00.000Z</ns0:v>
      </ns0:c>
      <ns0:c r="F10" s="7" t="d">
        <ns0:v>2024-09-30T00:00:00.000Z</ns0:v>
      </ns0:c>
      <ns0:c r="G10" s="7" t="d">
        <ns0:v>2025-09-30T00:00:00.000Z</ns0:v>
      </ns0:c>
      <ns0:c r="H10" s="2"/>
    </ns0:row>
    <ns0:row r="11" ht="23" customHeight="1">
      <ns0:c r="B11" s="2"/>
      <ns0:c r="C11" s="2"/>
      <ns0:c r="D11" s="2"/>
      <ns0:c r="E11" s="2"/>
      <ns0:c r="F11" s="2"/>
      <ns0:c r="G11" s="2"/>
      <ns0:c r="H11" s="2"/>
    </ns0:row>
    <ns0:row r="12" ht="23" customHeight="1">
      <ns0:c r="B12" s="2" t="str">
        <ns0:v>Reported net revenue</ns0:v>
      </ns0:c>
      <ns0:c r="C12" s="19" t="n">
        <ns0:f>IF(COUNTIFS('Actuals'!$K$6:$K$163,"visa|"&amp;C$8&amp;"|net_revenue")=1,IF(AND(COUNTIFS('Actuals'!$K$6:$K$163,"visa|"&amp;C$8&amp;"|net_revenue",'Actuals'!$F$6:$F$163,"&lt;&gt;")=1,ISNUMBER(_xlfn.XLOOKUP("visa|"&amp;C$8&amp;"|net_revenue",'Actuals'!$K$6:$K$163,'Actuals'!$F$6:$F$163,"n.a.",0)),_xlfn.XLOOKUP("visa|"&amp;C$8&amp;"|net_revenue",'Actuals'!$K$6:$K$163,'Actuals'!$G$6:$G$163,"n.a.",0)="USD"),_xlfn.XLOOKUP("visa|"&amp;C$8&amp;"|net_revenue",'Actuals'!$K$6:$K$163,'Actuals'!$F$6:$F$163,"n.a.",0)/1000000,"n.a."),"n.a.")</ns0:f>
        <ns0:v>24105</ns0:v>
      </ns0:c>
      <ns0:c r="D12" s="19" t="n">
        <ns0:f>IF(COUNTIFS('Actuals'!$K$6:$K$163,"visa|"&amp;D$8&amp;"|net_revenue")=1,IF(AND(COUNTIFS('Actuals'!$K$6:$K$163,"visa|"&amp;D$8&amp;"|net_revenue",'Actuals'!$F$6:$F$163,"&lt;&gt;")=1,ISNUMBER(_xlfn.XLOOKUP("visa|"&amp;D$8&amp;"|net_revenue",'Actuals'!$K$6:$K$163,'Actuals'!$F$6:$F$163,"n.a.",0)),_xlfn.XLOOKUP("visa|"&amp;D$8&amp;"|net_revenue",'Actuals'!$K$6:$K$163,'Actuals'!$G$6:$G$163,"n.a.",0)="USD"),_xlfn.XLOOKUP("visa|"&amp;D$8&amp;"|net_revenue",'Actuals'!$K$6:$K$163,'Actuals'!$F$6:$F$163,"n.a.",0)/1000000,"n.a."),"n.a.")</ns0:f>
        <ns0:v>29310</ns0:v>
      </ns0:c>
      <ns0:c r="E12" s="19" t="n">
        <ns0:f>IF(COUNTIFS('Actuals'!$K$6:$K$163,"visa|"&amp;E$8&amp;"|net_revenue")=1,IF(AND(COUNTIFS('Actuals'!$K$6:$K$163,"visa|"&amp;E$8&amp;"|net_revenue",'Actuals'!$F$6:$F$163,"&lt;&gt;")=1,ISNUMBER(_xlfn.XLOOKUP("visa|"&amp;E$8&amp;"|net_revenue",'Actuals'!$K$6:$K$163,'Actuals'!$F$6:$F$163,"n.a.",0)),_xlfn.XLOOKUP("visa|"&amp;E$8&amp;"|net_revenue",'Actuals'!$K$6:$K$163,'Actuals'!$G$6:$G$163,"n.a.",0)="USD"),_xlfn.XLOOKUP("visa|"&amp;E$8&amp;"|net_revenue",'Actuals'!$K$6:$K$163,'Actuals'!$F$6:$F$163,"n.a.",0)/1000000,"n.a."),"n.a.")</ns0:f>
        <ns0:v>32653</ns0:v>
      </ns0:c>
      <ns0:c r="F12" s="19" t="n">
        <ns0:f>IF(COUNTIFS('Actuals'!$K$6:$K$163,"visa|"&amp;F$8&amp;"|net_revenue")=1,IF(AND(COUNTIFS('Actuals'!$K$6:$K$163,"visa|"&amp;F$8&amp;"|net_revenue",'Actuals'!$F$6:$F$163,"&lt;&gt;")=1,ISNUMBER(_xlfn.XLOOKUP("visa|"&amp;F$8&amp;"|net_revenue",'Actuals'!$K$6:$K$163,'Actuals'!$F$6:$F$163,"n.a.",0)),_xlfn.XLOOKUP("visa|"&amp;F$8&amp;"|net_revenue",'Actuals'!$K$6:$K$163,'Actuals'!$G$6:$G$163,"n.a.",0)="USD"),_xlfn.XLOOKUP("visa|"&amp;F$8&amp;"|net_revenue",'Actuals'!$K$6:$K$163,'Actuals'!$F$6:$F$163,"n.a.",0)/1000000,"n.a."),"n.a.")</ns0:f>
        <ns0:v>35926</ns0:v>
      </ns0:c>
      <ns0:c r="G12" s="19" t="n">
        <ns0:f>IF(COUNTIFS('Actuals'!$K$6:$K$163,"visa|"&amp;G$8&amp;"|net_revenue")=1,IF(AND(COUNTIFS('Actuals'!$K$6:$K$163,"visa|"&amp;G$8&amp;"|net_revenue",'Actuals'!$F$6:$F$163,"&lt;&gt;")=1,ISNUMBER(_xlfn.XLOOKUP("visa|"&amp;G$8&amp;"|net_revenue",'Actuals'!$K$6:$K$163,'Actuals'!$F$6:$F$163,"n.a.",0)),_xlfn.XLOOKUP("visa|"&amp;G$8&amp;"|net_revenue",'Actuals'!$K$6:$K$163,'Actuals'!$G$6:$G$163,"n.a.",0)="USD"),_xlfn.XLOOKUP("visa|"&amp;G$8&amp;"|net_revenue",'Actuals'!$K$6:$K$163,'Actuals'!$F$6:$F$163,"n.a.",0)/1000000,"n.a."),"n.a.")</ns0:f>
        <ns0:v>40000</ns0:v>
      </ns0:c>
      <ns0:c r="H12" s="2"/>
    </ns0:row>
    <ns0:row r="13" ht="23" customHeight="1">
      <ns0:c r="B13" s="2" t="str">
        <ns0:v>Reported operating expenses</ns0:v>
      </ns0:c>
      <ns0:c r="C13" s="19" t="n">
        <ns0:f>IF(COUNTIFS('Actuals'!$K$6:$K$163,"visa|"&amp;C$8&amp;"|operating_expenses")=1,IF(AND(COUNTIFS('Actuals'!$K$6:$K$163,"visa|"&amp;C$8&amp;"|operating_expenses",'Actuals'!$F$6:$F$163,"&lt;&gt;")=1,ISNUMBER(_xlfn.XLOOKUP("visa|"&amp;C$8&amp;"|operating_expenses",'Actuals'!$K$6:$K$163,'Actuals'!$F$6:$F$163,"n.a.",0)),_xlfn.XLOOKUP("visa|"&amp;C$8&amp;"|operating_expenses",'Actuals'!$K$6:$K$163,'Actuals'!$G$6:$G$163,"n.a.",0)="USD"),_xlfn.XLOOKUP("visa|"&amp;C$8&amp;"|operating_expenses",'Actuals'!$K$6:$K$163,'Actuals'!$F$6:$F$163,"n.a.",0)/1000000,"n.a."),"n.a.")</ns0:f>
        <ns0:v>8301</ns0:v>
      </ns0:c>
      <ns0:c r="D13" s="19" t="n">
        <ns0:f>IF(COUNTIFS('Actuals'!$K$6:$K$163,"visa|"&amp;D$8&amp;"|operating_expenses")=1,IF(AND(COUNTIFS('Actuals'!$K$6:$K$163,"visa|"&amp;D$8&amp;"|operating_expenses",'Actuals'!$F$6:$F$163,"&lt;&gt;")=1,ISNUMBER(_xlfn.XLOOKUP("visa|"&amp;D$8&amp;"|operating_expenses",'Actuals'!$K$6:$K$163,'Actuals'!$F$6:$F$163,"n.a.",0)),_xlfn.XLOOKUP("visa|"&amp;D$8&amp;"|operating_expenses",'Actuals'!$K$6:$K$163,'Actuals'!$G$6:$G$163,"n.a.",0)="USD"),_xlfn.XLOOKUP("visa|"&amp;D$8&amp;"|operating_expenses",'Actuals'!$K$6:$K$163,'Actuals'!$F$6:$F$163,"n.a.",0)/1000000,"n.a."),"n.a.")</ns0:f>
        <ns0:v>10497</ns0:v>
      </ns0:c>
      <ns0:c r="E13" s="19" t="n">
        <ns0:f>IF(COUNTIFS('Actuals'!$K$6:$K$163,"visa|"&amp;E$8&amp;"|operating_expenses")=1,IF(AND(COUNTIFS('Actuals'!$K$6:$K$163,"visa|"&amp;E$8&amp;"|operating_expenses",'Actuals'!$F$6:$F$163,"&lt;&gt;")=1,ISNUMBER(_xlfn.XLOOKUP("visa|"&amp;E$8&amp;"|operating_expenses",'Actuals'!$K$6:$K$163,'Actuals'!$F$6:$F$163,"n.a.",0)),_xlfn.XLOOKUP("visa|"&amp;E$8&amp;"|operating_expenses",'Actuals'!$K$6:$K$163,'Actuals'!$G$6:$G$163,"n.a.",0)="USD"),_xlfn.XLOOKUP("visa|"&amp;E$8&amp;"|operating_expenses",'Actuals'!$K$6:$K$163,'Actuals'!$F$6:$F$163,"n.a.",0)/1000000,"n.a."),"n.a.")</ns0:f>
        <ns0:v>11653</ns0:v>
      </ns0:c>
      <ns0:c r="F13" s="19" t="n">
        <ns0:f>IF(COUNTIFS('Actuals'!$K$6:$K$163,"visa|"&amp;F$8&amp;"|operating_expenses")=1,IF(AND(COUNTIFS('Actuals'!$K$6:$K$163,"visa|"&amp;F$8&amp;"|operating_expenses",'Actuals'!$F$6:$F$163,"&lt;&gt;")=1,ISNUMBER(_xlfn.XLOOKUP("visa|"&amp;F$8&amp;"|operating_expenses",'Actuals'!$K$6:$K$163,'Actuals'!$F$6:$F$163,"n.a.",0)),_xlfn.XLOOKUP("visa|"&amp;F$8&amp;"|operating_expenses",'Actuals'!$K$6:$K$163,'Actuals'!$G$6:$G$163,"n.a.",0)="USD"),_xlfn.XLOOKUP("visa|"&amp;F$8&amp;"|operating_expenses",'Actuals'!$K$6:$K$163,'Actuals'!$F$6:$F$163,"n.a.",0)/1000000,"n.a."),"n.a.")</ns0:f>
        <ns0:v>12331</ns0:v>
      </ns0:c>
      <ns0:c r="G13" s="19" t="n">
        <ns0:f>IF(COUNTIFS('Actuals'!$K$6:$K$163,"visa|"&amp;G$8&amp;"|operating_expenses")=1,IF(AND(COUNTIFS('Actuals'!$K$6:$K$163,"visa|"&amp;G$8&amp;"|operating_expenses",'Actuals'!$F$6:$F$163,"&lt;&gt;")=1,ISNUMBER(_xlfn.XLOOKUP("visa|"&amp;G$8&amp;"|operating_expenses",'Actuals'!$K$6:$K$163,'Actuals'!$F$6:$F$163,"n.a.",0)),_xlfn.XLOOKUP("visa|"&amp;G$8&amp;"|operating_expenses",'Actuals'!$K$6:$K$163,'Actuals'!$G$6:$G$163,"n.a.",0)="USD"),_xlfn.XLOOKUP("visa|"&amp;G$8&amp;"|operating_expenses",'Actuals'!$K$6:$K$163,'Actuals'!$F$6:$F$163,"n.a.",0)/1000000,"n.a."),"n.a.")</ns0:f>
        <ns0:v>16006</ns0:v>
      </ns0:c>
      <ns0:c r="H13" s="2"/>
    </ns0:row>
    <ns0:row r="14" ht="23" customHeight="1">
      <ns0:c r="B14" s="2" t="str">
        <ns0:v>Reported operating income</ns0:v>
      </ns0:c>
      <ns0:c r="C14" s="19" t="n">
        <ns0:f>IF(COUNTIFS('Actuals'!$K$6:$K$163,"visa|"&amp;C$8&amp;"|operating_income")=1,IF(AND(COUNTIFS('Actuals'!$K$6:$K$163,"visa|"&amp;C$8&amp;"|operating_income",'Actuals'!$F$6:$F$163,"&lt;&gt;")=1,ISNUMBER(_xlfn.XLOOKUP("visa|"&amp;C$8&amp;"|operating_income",'Actuals'!$K$6:$K$163,'Actuals'!$F$6:$F$163,"n.a.",0)),_xlfn.XLOOKUP("visa|"&amp;C$8&amp;"|operating_income",'Actuals'!$K$6:$K$163,'Actuals'!$G$6:$G$163,"n.a.",0)="USD"),_xlfn.XLOOKUP("visa|"&amp;C$8&amp;"|operating_income",'Actuals'!$K$6:$K$163,'Actuals'!$F$6:$F$163,"n.a.",0)/1000000,"n.a."),"n.a.")</ns0:f>
        <ns0:v>15804</ns0:v>
      </ns0:c>
      <ns0:c r="D14" s="19" t="n">
        <ns0:f>IF(COUNTIFS('Actuals'!$K$6:$K$163,"visa|"&amp;D$8&amp;"|operating_income")=1,IF(AND(COUNTIFS('Actuals'!$K$6:$K$163,"visa|"&amp;D$8&amp;"|operating_income",'Actuals'!$F$6:$F$163,"&lt;&gt;")=1,ISNUMBER(_xlfn.XLOOKUP("visa|"&amp;D$8&amp;"|operating_income",'Actuals'!$K$6:$K$163,'Actuals'!$F$6:$F$163,"n.a.",0)),_xlfn.XLOOKUP("visa|"&amp;D$8&amp;"|operating_income",'Actuals'!$K$6:$K$163,'Actuals'!$G$6:$G$163,"n.a.",0)="USD"),_xlfn.XLOOKUP("visa|"&amp;D$8&amp;"|operating_income",'Actuals'!$K$6:$K$163,'Actuals'!$F$6:$F$163,"n.a.",0)/1000000,"n.a."),"n.a.")</ns0:f>
        <ns0:v>18813</ns0:v>
      </ns0:c>
      <ns0:c r="E14" s="19" t="n">
        <ns0:f>IF(COUNTIFS('Actuals'!$K$6:$K$163,"visa|"&amp;E$8&amp;"|operating_income")=1,IF(AND(COUNTIFS('Actuals'!$K$6:$K$163,"visa|"&amp;E$8&amp;"|operating_income",'Actuals'!$F$6:$F$163,"&lt;&gt;")=1,ISNUMBER(_xlfn.XLOOKUP("visa|"&amp;E$8&amp;"|operating_income",'Actuals'!$K$6:$K$163,'Actuals'!$F$6:$F$163,"n.a.",0)),_xlfn.XLOOKUP("visa|"&amp;E$8&amp;"|operating_income",'Actuals'!$K$6:$K$163,'Actuals'!$G$6:$G$163,"n.a.",0)="USD"),_xlfn.XLOOKUP("visa|"&amp;E$8&amp;"|operating_income",'Actuals'!$K$6:$K$163,'Actuals'!$F$6:$F$163,"n.a.",0)/1000000,"n.a."),"n.a.")</ns0:f>
        <ns0:v>21000</ns0:v>
      </ns0:c>
      <ns0:c r="F14" s="19" t="n">
        <ns0:f>IF(COUNTIFS('Actuals'!$K$6:$K$163,"visa|"&amp;F$8&amp;"|operating_income")=1,IF(AND(COUNTIFS('Actuals'!$K$6:$K$163,"visa|"&amp;F$8&amp;"|operating_income",'Actuals'!$F$6:$F$163,"&lt;&gt;")=1,ISNUMBER(_xlfn.XLOOKUP("visa|"&amp;F$8&amp;"|operating_income",'Actuals'!$K$6:$K$163,'Actuals'!$F$6:$F$163,"n.a.",0)),_xlfn.XLOOKUP("visa|"&amp;F$8&amp;"|operating_income",'Actuals'!$K$6:$K$163,'Actuals'!$G$6:$G$163,"n.a.",0)="USD"),_xlfn.XLOOKUP("visa|"&amp;F$8&amp;"|operating_income",'Actuals'!$K$6:$K$163,'Actuals'!$F$6:$F$163,"n.a.",0)/1000000,"n.a."),"n.a.")</ns0:f>
        <ns0:v>23595</ns0:v>
      </ns0:c>
      <ns0:c r="G14" s="19" t="n">
        <ns0:f>IF(COUNTIFS('Actuals'!$K$6:$K$163,"visa|"&amp;G$8&amp;"|operating_income")=1,IF(AND(COUNTIFS('Actuals'!$K$6:$K$163,"visa|"&amp;G$8&amp;"|operating_income",'Actuals'!$F$6:$F$163,"&lt;&gt;")=1,ISNUMBER(_xlfn.XLOOKUP("visa|"&amp;G$8&amp;"|operating_income",'Actuals'!$K$6:$K$163,'Actuals'!$F$6:$F$163,"n.a.",0)),_xlfn.XLOOKUP("visa|"&amp;G$8&amp;"|operating_income",'Actuals'!$K$6:$K$163,'Actuals'!$G$6:$G$163,"n.a.",0)="USD"),_xlfn.XLOOKUP("visa|"&amp;G$8&amp;"|operating_income",'Actuals'!$K$6:$K$163,'Actuals'!$F$6:$F$163,"n.a.",0)/1000000,"n.a."),"n.a.")</ns0:f>
        <ns0:v>23994</ns0:v>
      </ns0:c>
      <ns0:c r="H14" s="2"/>
    </ns0:row>
    <ns0:row r="15" ht="23" customHeight="1">
      <ns0:c r="B15" s="2" t="str">
        <ns0:v>Reported consolidated net income</ns0:v>
      </ns0:c>
      <ns0:c r="C15" s="19" t="n">
        <ns0:f>IF(COUNTIFS('Actuals'!$K$6:$K$163,"visa|"&amp;C$8&amp;"|net_income")=1,IF(AND(COUNTIFS('Actuals'!$K$6:$K$163,"visa|"&amp;C$8&amp;"|net_income",'Actuals'!$F$6:$F$163,"&lt;&gt;")=1,ISNUMBER(_xlfn.XLOOKUP("visa|"&amp;C$8&amp;"|net_income",'Actuals'!$K$6:$K$163,'Actuals'!$F$6:$F$163,"n.a.",0)),_xlfn.XLOOKUP("visa|"&amp;C$8&amp;"|net_income",'Actuals'!$K$6:$K$163,'Actuals'!$G$6:$G$163,"n.a.",0)="USD"),_xlfn.XLOOKUP("visa|"&amp;C$8&amp;"|net_income",'Actuals'!$K$6:$K$163,'Actuals'!$F$6:$F$163,"n.a.",0)/1000000,"n.a."),"n.a.")</ns0:f>
        <ns0:v>12311</ns0:v>
      </ns0:c>
      <ns0:c r="D15" s="19" t="n">
        <ns0:f>IF(COUNTIFS('Actuals'!$K$6:$K$163,"visa|"&amp;D$8&amp;"|net_income")=1,IF(AND(COUNTIFS('Actuals'!$K$6:$K$163,"visa|"&amp;D$8&amp;"|net_income",'Actuals'!$F$6:$F$163,"&lt;&gt;")=1,ISNUMBER(_xlfn.XLOOKUP("visa|"&amp;D$8&amp;"|net_income",'Actuals'!$K$6:$K$163,'Actuals'!$F$6:$F$163,"n.a.",0)),_xlfn.XLOOKUP("visa|"&amp;D$8&amp;"|net_income",'Actuals'!$K$6:$K$163,'Actuals'!$G$6:$G$163,"n.a.",0)="USD"),_xlfn.XLOOKUP("visa|"&amp;D$8&amp;"|net_income",'Actuals'!$K$6:$K$163,'Actuals'!$F$6:$F$163,"n.a.",0)/1000000,"n.a."),"n.a.")</ns0:f>
        <ns0:v>14957</ns0:v>
      </ns0:c>
      <ns0:c r="E15" s="19" t="n">
        <ns0:f>IF(COUNTIFS('Actuals'!$K$6:$K$163,"visa|"&amp;E$8&amp;"|net_income")=1,IF(AND(COUNTIFS('Actuals'!$K$6:$K$163,"visa|"&amp;E$8&amp;"|net_income",'Actuals'!$F$6:$F$163,"&lt;&gt;")=1,ISNUMBER(_xlfn.XLOOKUP("visa|"&amp;E$8&amp;"|net_income",'Actuals'!$K$6:$K$163,'Actuals'!$F$6:$F$163,"n.a.",0)),_xlfn.XLOOKUP("visa|"&amp;E$8&amp;"|net_income",'Actuals'!$K$6:$K$163,'Actuals'!$G$6:$G$163,"n.a.",0)="USD"),_xlfn.XLOOKUP("visa|"&amp;E$8&amp;"|net_income",'Actuals'!$K$6:$K$163,'Actuals'!$F$6:$F$163,"n.a.",0)/1000000,"n.a."),"n.a.")</ns0:f>
        <ns0:v>17273</ns0:v>
      </ns0:c>
      <ns0:c r="F15" s="19" t="n">
        <ns0:f>IF(COUNTIFS('Actuals'!$K$6:$K$163,"visa|"&amp;F$8&amp;"|net_income")=1,IF(AND(COUNTIFS('Actuals'!$K$6:$K$163,"visa|"&amp;F$8&amp;"|net_income",'Actuals'!$F$6:$F$163,"&lt;&gt;")=1,ISNUMBER(_xlfn.XLOOKUP("visa|"&amp;F$8&amp;"|net_income",'Actuals'!$K$6:$K$163,'Actuals'!$F$6:$F$163,"n.a.",0)),_xlfn.XLOOKUP("visa|"&amp;F$8&amp;"|net_income",'Actuals'!$K$6:$K$163,'Actuals'!$G$6:$G$163,"n.a.",0)="USD"),_xlfn.XLOOKUP("visa|"&amp;F$8&amp;"|net_income",'Actuals'!$K$6:$K$163,'Actuals'!$F$6:$F$163,"n.a.",0)/1000000,"n.a."),"n.a.")</ns0:f>
        <ns0:v>19743</ns0:v>
      </ns0:c>
      <ns0:c r="G15" s="19" t="n">
        <ns0:f>IF(COUNTIFS('Actuals'!$K$6:$K$163,"visa|"&amp;G$8&amp;"|net_income")=1,IF(AND(COUNTIFS('Actuals'!$K$6:$K$163,"visa|"&amp;G$8&amp;"|net_income",'Actuals'!$F$6:$F$163,"&lt;&gt;")=1,ISNUMBER(_xlfn.XLOOKUP("visa|"&amp;G$8&amp;"|net_income",'Actuals'!$K$6:$K$163,'Actuals'!$F$6:$F$163,"n.a.",0)),_xlfn.XLOOKUP("visa|"&amp;G$8&amp;"|net_income",'Actuals'!$K$6:$K$163,'Actuals'!$G$6:$G$163,"n.a.",0)="USD"),_xlfn.XLOOKUP("visa|"&amp;G$8&amp;"|net_income",'Actuals'!$K$6:$K$163,'Actuals'!$F$6:$F$163,"n.a.",0)/1000000,"n.a."),"n.a.")</ns0:f>
        <ns0:v>20058</ns0:v>
      </ns0:c>
      <ns0:c r="H15" s="2"/>
    </ns0:row>
    <ns0:row r="16" ht="23" customHeight="1">
      <ns0:c r="B16" s="2" t="str">
        <ns0:v>Reported operating cash flow</ns0:v>
      </ns0:c>
      <ns0:c r="C16" s="19" t="n">
        <ns0:f>IF(COUNTIFS('Actuals'!$K$6:$K$163,"visa|"&amp;C$8&amp;"|operating_cash_flow")=1,IF(AND(COUNTIFS('Actuals'!$K$6:$K$163,"visa|"&amp;C$8&amp;"|operating_cash_flow",'Actuals'!$F$6:$F$163,"&lt;&gt;")=1,ISNUMBER(_xlfn.XLOOKUP("visa|"&amp;C$8&amp;"|operating_cash_flow",'Actuals'!$K$6:$K$163,'Actuals'!$F$6:$F$163,"n.a.",0)),_xlfn.XLOOKUP("visa|"&amp;C$8&amp;"|operating_cash_flow",'Actuals'!$K$6:$K$163,'Actuals'!$G$6:$G$163,"n.a.",0)="USD"),_xlfn.XLOOKUP("visa|"&amp;C$8&amp;"|operating_cash_flow",'Actuals'!$K$6:$K$163,'Actuals'!$F$6:$F$163,"n.a.",0)/1000000,"n.a."),"n.a.")</ns0:f>
        <ns0:v>15227</ns0:v>
      </ns0:c>
      <ns0:c r="D16" s="19" t="n">
        <ns0:f>IF(COUNTIFS('Actuals'!$K$6:$K$163,"visa|"&amp;D$8&amp;"|operating_cash_flow")=1,IF(AND(COUNTIFS('Actuals'!$K$6:$K$163,"visa|"&amp;D$8&amp;"|operating_cash_flow",'Actuals'!$F$6:$F$163,"&lt;&gt;")=1,ISNUMBER(_xlfn.XLOOKUP("visa|"&amp;D$8&amp;"|operating_cash_flow",'Actuals'!$K$6:$K$163,'Actuals'!$F$6:$F$163,"n.a.",0)),_xlfn.XLOOKUP("visa|"&amp;D$8&amp;"|operating_cash_flow",'Actuals'!$K$6:$K$163,'Actuals'!$G$6:$G$163,"n.a.",0)="USD"),_xlfn.XLOOKUP("visa|"&amp;D$8&amp;"|operating_cash_flow",'Actuals'!$K$6:$K$163,'Actuals'!$F$6:$F$163,"n.a.",0)/1000000,"n.a."),"n.a.")</ns0:f>
        <ns0:v>18849</ns0:v>
      </ns0:c>
      <ns0:c r="E16" s="19" t="n">
        <ns0:f>IF(COUNTIFS('Actuals'!$K$6:$K$163,"visa|"&amp;E$8&amp;"|operating_cash_flow")=1,IF(AND(COUNTIFS('Actuals'!$K$6:$K$163,"visa|"&amp;E$8&amp;"|operating_cash_flow",'Actuals'!$F$6:$F$163,"&lt;&gt;")=1,ISNUMBER(_xlfn.XLOOKUP("visa|"&amp;E$8&amp;"|operating_cash_flow",'Actuals'!$K$6:$K$163,'Actuals'!$F$6:$F$163,"n.a.",0)),_xlfn.XLOOKUP("visa|"&amp;E$8&amp;"|operating_cash_flow",'Actuals'!$K$6:$K$163,'Actuals'!$G$6:$G$163,"n.a.",0)="USD"),_xlfn.XLOOKUP("visa|"&amp;E$8&amp;"|operating_cash_flow",'Actuals'!$K$6:$K$163,'Actuals'!$F$6:$F$163,"n.a.",0)/1000000,"n.a."),"n.a.")</ns0:f>
        <ns0:v>20755</ns0:v>
      </ns0:c>
      <ns0:c r="F16" s="19" t="n">
        <ns0:f>IF(COUNTIFS('Actuals'!$K$6:$K$163,"visa|"&amp;F$8&amp;"|operating_cash_flow")=1,IF(AND(COUNTIFS('Actuals'!$K$6:$K$163,"visa|"&amp;F$8&amp;"|operating_cash_flow",'Actuals'!$F$6:$F$163,"&lt;&gt;")=1,ISNUMBER(_xlfn.XLOOKUP("visa|"&amp;F$8&amp;"|operating_cash_flow",'Actuals'!$K$6:$K$163,'Actuals'!$F$6:$F$163,"n.a.",0)),_xlfn.XLOOKUP("visa|"&amp;F$8&amp;"|operating_cash_flow",'Actuals'!$K$6:$K$163,'Actuals'!$G$6:$G$163,"n.a.",0)="USD"),_xlfn.XLOOKUP("visa|"&amp;F$8&amp;"|operating_cash_flow",'Actuals'!$K$6:$K$163,'Actuals'!$F$6:$F$163,"n.a.",0)/1000000,"n.a."),"n.a.")</ns0:f>
        <ns0:v>19950</ns0:v>
      </ns0:c>
      <ns0:c r="G16" s="19" t="n">
        <ns0:f>IF(COUNTIFS('Actuals'!$K$6:$K$163,"visa|"&amp;G$8&amp;"|operating_cash_flow")=1,IF(AND(COUNTIFS('Actuals'!$K$6:$K$163,"visa|"&amp;G$8&amp;"|operating_cash_flow",'Actuals'!$F$6:$F$163,"&lt;&gt;")=1,ISNUMBER(_xlfn.XLOOKUP("visa|"&amp;G$8&amp;"|operating_cash_flow",'Actuals'!$K$6:$K$163,'Actuals'!$F$6:$F$163,"n.a.",0)),_xlfn.XLOOKUP("visa|"&amp;G$8&amp;"|operating_cash_flow",'Actuals'!$K$6:$K$163,'Actuals'!$G$6:$G$163,"n.a.",0)="USD"),_xlfn.XLOOKUP("visa|"&amp;G$8&amp;"|operating_cash_flow",'Actuals'!$K$6:$K$163,'Actuals'!$F$6:$F$163,"n.a.",0)/1000000,"n.a."),"n.a.")</ns0:f>
        <ns0:v>23059</ns0:v>
      </ns0:c>
      <ns0:c r="H16" s="2"/>
    </ns0:row>
    <ns0:row r="17" ht="23" customHeight="1">
      <ns0:c r="B17" s="2" t="str">
        <ns0:v>Cash and cash equivalents</ns0:v>
      </ns0:c>
      <ns0:c r="C17" s="19" t="n">
        <ns0:f>IF(COUNTIFS('Actuals'!$K$6:$K$163,"visa|"&amp;C$8&amp;"|cash_and_cash_equivalents")=1,IF(AND(COUNTIFS('Actuals'!$K$6:$K$163,"visa|"&amp;C$8&amp;"|cash_and_cash_equivalents",'Actuals'!$F$6:$F$163,"&lt;&gt;")=1,ISNUMBER(_xlfn.XLOOKUP("visa|"&amp;C$8&amp;"|cash_and_cash_equivalents",'Actuals'!$K$6:$K$163,'Actuals'!$F$6:$F$163,"n.a.",0)),_xlfn.XLOOKUP("visa|"&amp;C$8&amp;"|cash_and_cash_equivalents",'Actuals'!$K$6:$K$163,'Actuals'!$G$6:$G$163,"n.a.",0)="USD"),_xlfn.XLOOKUP("visa|"&amp;C$8&amp;"|cash_and_cash_equivalents",'Actuals'!$K$6:$K$163,'Actuals'!$F$6:$F$163,"n.a.",0)/1000000,"n.a."),"n.a.")</ns0:f>
        <ns0:v>16487</ns0:v>
      </ns0:c>
      <ns0:c r="D17" s="19" t="n">
        <ns0:f>IF(COUNTIFS('Actuals'!$K$6:$K$163,"visa|"&amp;D$8&amp;"|cash_and_cash_equivalents")=1,IF(AND(COUNTIFS('Actuals'!$K$6:$K$163,"visa|"&amp;D$8&amp;"|cash_and_cash_equivalents",'Actuals'!$F$6:$F$163,"&lt;&gt;")=1,ISNUMBER(_xlfn.XLOOKUP("visa|"&amp;D$8&amp;"|cash_and_cash_equivalents",'Actuals'!$K$6:$K$163,'Actuals'!$F$6:$F$163,"n.a.",0)),_xlfn.XLOOKUP("visa|"&amp;D$8&amp;"|cash_and_cash_equivalents",'Actuals'!$K$6:$K$163,'Actuals'!$G$6:$G$163,"n.a.",0)="USD"),_xlfn.XLOOKUP("visa|"&amp;D$8&amp;"|cash_and_cash_equivalents",'Actuals'!$K$6:$K$163,'Actuals'!$F$6:$F$163,"n.a.",0)/1000000,"n.a."),"n.a.")</ns0:f>
        <ns0:v>15689</ns0:v>
      </ns0:c>
      <ns0:c r="E17" s="19" t="n">
        <ns0:f>IF(COUNTIFS('Actuals'!$K$6:$K$163,"visa|"&amp;E$8&amp;"|cash_and_cash_equivalents")=1,IF(AND(COUNTIFS('Actuals'!$K$6:$K$163,"visa|"&amp;E$8&amp;"|cash_and_cash_equivalents",'Actuals'!$F$6:$F$163,"&lt;&gt;")=1,ISNUMBER(_xlfn.XLOOKUP("visa|"&amp;E$8&amp;"|cash_and_cash_equivalents",'Actuals'!$K$6:$K$163,'Actuals'!$F$6:$F$163,"n.a.",0)),_xlfn.XLOOKUP("visa|"&amp;E$8&amp;"|cash_and_cash_equivalents",'Actuals'!$K$6:$K$163,'Actuals'!$G$6:$G$163,"n.a.",0)="USD"),_xlfn.XLOOKUP("visa|"&amp;E$8&amp;"|cash_and_cash_equivalents",'Actuals'!$K$6:$K$163,'Actuals'!$F$6:$F$163,"n.a.",0)/1000000,"n.a."),"n.a.")</ns0:f>
        <ns0:v>16286</ns0:v>
      </ns0:c>
      <ns0:c r="F17" s="19" t="n">
        <ns0:f>IF(COUNTIFS('Actuals'!$K$6:$K$163,"visa|"&amp;F$8&amp;"|cash_and_cash_equivalents")=1,IF(AND(COUNTIFS('Actuals'!$K$6:$K$163,"visa|"&amp;F$8&amp;"|cash_and_cash_equivalents",'Actuals'!$F$6:$F$163,"&lt;&gt;")=1,ISNUMBER(_xlfn.XLOOKUP("visa|"&amp;F$8&amp;"|cash_and_cash_equivalents",'Actuals'!$K$6:$K$163,'Actuals'!$F$6:$F$163,"n.a.",0)),_xlfn.XLOOKUP("visa|"&amp;F$8&amp;"|cash_and_cash_equivalents",'Actuals'!$K$6:$K$163,'Actuals'!$G$6:$G$163,"n.a.",0)="USD"),_xlfn.XLOOKUP("visa|"&amp;F$8&amp;"|cash_and_cash_equivalents",'Actuals'!$K$6:$K$163,'Actuals'!$F$6:$F$163,"n.a.",0)/1000000,"n.a."),"n.a.")</ns0:f>
        <ns0:v>11975</ns0:v>
      </ns0:c>
      <ns0:c r="G17" s="19" t="n">
        <ns0:f>IF(COUNTIFS('Actuals'!$K$6:$K$163,"visa|"&amp;G$8&amp;"|cash_and_cash_equivalents")=1,IF(AND(COUNTIFS('Actuals'!$K$6:$K$163,"visa|"&amp;G$8&amp;"|cash_and_cash_equivalents",'Actuals'!$F$6:$F$163,"&lt;&gt;")=1,ISNUMBER(_xlfn.XLOOKUP("visa|"&amp;G$8&amp;"|cash_and_cash_equivalents",'Actuals'!$K$6:$K$163,'Actuals'!$F$6:$F$163,"n.a.",0)),_xlfn.XLOOKUP("visa|"&amp;G$8&amp;"|cash_and_cash_equivalents",'Actuals'!$K$6:$K$163,'Actuals'!$G$6:$G$163,"n.a.",0)="USD"),_xlfn.XLOOKUP("visa|"&amp;G$8&amp;"|cash_and_cash_equivalents",'Actuals'!$K$6:$K$163,'Actuals'!$F$6:$F$163,"n.a.",0)/1000000,"n.a."),"n.a.")</ns0:f>
        <ns0:v>17164</ns0:v>
      </ns0:c>
      <ns0:c r="H17" s="2"/>
    </ns0:row>
    <ns0:row r="18" ht="23" customHeight="1">
      <ns0:c r="B18" s="2" t="str">
        <ns0:v>Current debt carrying amount</ns0:v>
      </ns0:c>
      <ns0:c r="C18" s="19" t="n">
        <ns0:f>IF(COUNTIFS('Actuals'!$K$6:$K$163,"visa|"&amp;C$8&amp;"|current_debt")=1,IF(AND(COUNTIFS('Actuals'!$K$6:$K$163,"visa|"&amp;C$8&amp;"|current_debt",'Actuals'!$F$6:$F$163,"&lt;&gt;")=1,ISNUMBER(_xlfn.XLOOKUP("visa|"&amp;C$8&amp;"|current_debt",'Actuals'!$K$6:$K$163,'Actuals'!$F$6:$F$163,"n.a.",0)),_xlfn.XLOOKUP("visa|"&amp;C$8&amp;"|current_debt",'Actuals'!$K$6:$K$163,'Actuals'!$G$6:$G$163,"n.a.",0)="USD"),_xlfn.XLOOKUP("visa|"&amp;C$8&amp;"|current_debt",'Actuals'!$K$6:$K$163,'Actuals'!$F$6:$F$163,"n.a.",0)/1000000,"n.a."),"n.a.")</ns0:f>
        <ns0:v>999</ns0:v>
      </ns0:c>
      <ns0:c r="D18" s="19" t="n">
        <ns0:f>IF(COUNTIFS('Actuals'!$K$6:$K$163,"visa|"&amp;D$8&amp;"|current_debt")=1,IF(AND(COUNTIFS('Actuals'!$K$6:$K$163,"visa|"&amp;D$8&amp;"|current_debt",'Actuals'!$F$6:$F$163,"&lt;&gt;")=1,ISNUMBER(_xlfn.XLOOKUP("visa|"&amp;D$8&amp;"|current_debt",'Actuals'!$K$6:$K$163,'Actuals'!$F$6:$F$163,"n.a.",0)),_xlfn.XLOOKUP("visa|"&amp;D$8&amp;"|current_debt",'Actuals'!$K$6:$K$163,'Actuals'!$G$6:$G$163,"n.a.",0)="USD"),_xlfn.XLOOKUP("visa|"&amp;D$8&amp;"|current_debt",'Actuals'!$K$6:$K$163,'Actuals'!$F$6:$F$163,"n.a.",0)/1000000,"n.a."),"n.a.")</ns0:f>
        <ns0:v>2250</ns0:v>
      </ns0:c>
      <ns0:c r="E18" s="19" t="n">
        <ns0:f>IF(COUNTIFS('Actuals'!$K$6:$K$163,"visa|"&amp;E$8&amp;"|current_debt")=1,IF(AND(COUNTIFS('Actuals'!$K$6:$K$163,"visa|"&amp;E$8&amp;"|current_debt",'Actuals'!$F$6:$F$163,"&lt;&gt;")=1,ISNUMBER(_xlfn.XLOOKUP("visa|"&amp;E$8&amp;"|current_debt",'Actuals'!$K$6:$K$163,'Actuals'!$F$6:$F$163,"n.a.",0)),_xlfn.XLOOKUP("visa|"&amp;E$8&amp;"|current_debt",'Actuals'!$K$6:$K$163,'Actuals'!$G$6:$G$163,"n.a.",0)="USD"),_xlfn.XLOOKUP("visa|"&amp;E$8&amp;"|current_debt",'Actuals'!$K$6:$K$163,'Actuals'!$F$6:$F$163,"n.a.",0)/1000000,"n.a."),"n.a.")</ns0:f>
        <ns0:v>0</ns0:v>
      </ns0:c>
      <ns0:c r="F18" s="19" t="n">
        <ns0:f>IF(COUNTIFS('Actuals'!$K$6:$K$163,"visa|"&amp;F$8&amp;"|current_debt")=1,IF(AND(COUNTIFS('Actuals'!$K$6:$K$163,"visa|"&amp;F$8&amp;"|current_debt",'Actuals'!$F$6:$F$163,"&lt;&gt;")=1,ISNUMBER(_xlfn.XLOOKUP("visa|"&amp;F$8&amp;"|current_debt",'Actuals'!$K$6:$K$163,'Actuals'!$F$6:$F$163,"n.a.",0)),_xlfn.XLOOKUP("visa|"&amp;F$8&amp;"|current_debt",'Actuals'!$K$6:$K$163,'Actuals'!$G$6:$G$163,"n.a.",0)="USD"),_xlfn.XLOOKUP("visa|"&amp;F$8&amp;"|current_debt",'Actuals'!$K$6:$K$163,'Actuals'!$F$6:$F$163,"n.a.",0)/1000000,"n.a."),"n.a.")</ns0:f>
        <ns0:v>0</ns0:v>
      </ns0:c>
      <ns0:c r="G18" s="19" t="n">
        <ns0:f>IF(COUNTIFS('Actuals'!$K$6:$K$163,"visa|"&amp;G$8&amp;"|current_debt")=1,IF(AND(COUNTIFS('Actuals'!$K$6:$K$163,"visa|"&amp;G$8&amp;"|current_debt",'Actuals'!$F$6:$F$163,"&lt;&gt;")=1,ISNUMBER(_xlfn.XLOOKUP("visa|"&amp;G$8&amp;"|current_debt",'Actuals'!$K$6:$K$163,'Actuals'!$F$6:$F$163,"n.a.",0)),_xlfn.XLOOKUP("visa|"&amp;G$8&amp;"|current_debt",'Actuals'!$K$6:$K$163,'Actuals'!$G$6:$G$163,"n.a.",0)="USD"),_xlfn.XLOOKUP("visa|"&amp;G$8&amp;"|current_debt",'Actuals'!$K$6:$K$163,'Actuals'!$F$6:$F$163,"n.a.",0)/1000000,"n.a."),"n.a.")</ns0:f>
        <ns0:v>5569</ns0:v>
      </ns0:c>
      <ns0:c r="H18" s="2"/>
    </ns0:row>
    <ns0:row r="19" ht="23" customHeight="1">
      <ns0:c r="B19" s="2" t="str">
        <ns0:v>Noncurrent debt carrying amount</ns0:v>
      </ns0:c>
      <ns0:c r="C19" s="19" t="n">
        <ns0:f>IF(COUNTIFS('Actuals'!$K$6:$K$163,"visa|"&amp;C$8&amp;"|noncurrent_debt")=1,IF(AND(COUNTIFS('Actuals'!$K$6:$K$163,"visa|"&amp;C$8&amp;"|noncurrent_debt",'Actuals'!$F$6:$F$163,"&lt;&gt;")=1,ISNUMBER(_xlfn.XLOOKUP("visa|"&amp;C$8&amp;"|noncurrent_debt",'Actuals'!$K$6:$K$163,'Actuals'!$F$6:$F$163,"n.a.",0)),_xlfn.XLOOKUP("visa|"&amp;C$8&amp;"|noncurrent_debt",'Actuals'!$K$6:$K$163,'Actuals'!$G$6:$G$163,"n.a.",0)="USD"),_xlfn.XLOOKUP("visa|"&amp;C$8&amp;"|noncurrent_debt",'Actuals'!$K$6:$K$163,'Actuals'!$F$6:$F$163,"n.a.",0)/1000000,"n.a."),"n.a.")</ns0:f>
        <ns0:v>19978</ns0:v>
      </ns0:c>
      <ns0:c r="D19" s="19" t="n">
        <ns0:f>IF(COUNTIFS('Actuals'!$K$6:$K$163,"visa|"&amp;D$8&amp;"|noncurrent_debt")=1,IF(AND(COUNTIFS('Actuals'!$K$6:$K$163,"visa|"&amp;D$8&amp;"|noncurrent_debt",'Actuals'!$F$6:$F$163,"&lt;&gt;")=1,ISNUMBER(_xlfn.XLOOKUP("visa|"&amp;D$8&amp;"|noncurrent_debt",'Actuals'!$K$6:$K$163,'Actuals'!$F$6:$F$163,"n.a.",0)),_xlfn.XLOOKUP("visa|"&amp;D$8&amp;"|noncurrent_debt",'Actuals'!$K$6:$K$163,'Actuals'!$G$6:$G$163,"n.a.",0)="USD"),_xlfn.XLOOKUP("visa|"&amp;D$8&amp;"|noncurrent_debt",'Actuals'!$K$6:$K$163,'Actuals'!$F$6:$F$163,"n.a.",0)/1000000,"n.a."),"n.a.")</ns0:f>
        <ns0:v>20200</ns0:v>
      </ns0:c>
      <ns0:c r="E19" s="19" t="n">
        <ns0:f>IF(COUNTIFS('Actuals'!$K$6:$K$163,"visa|"&amp;E$8&amp;"|noncurrent_debt")=1,IF(AND(COUNTIFS('Actuals'!$K$6:$K$163,"visa|"&amp;E$8&amp;"|noncurrent_debt",'Actuals'!$F$6:$F$163,"&lt;&gt;")=1,ISNUMBER(_xlfn.XLOOKUP("visa|"&amp;E$8&amp;"|noncurrent_debt",'Actuals'!$K$6:$K$163,'Actuals'!$F$6:$F$163,"n.a.",0)),_xlfn.XLOOKUP("visa|"&amp;E$8&amp;"|noncurrent_debt",'Actuals'!$K$6:$K$163,'Actuals'!$G$6:$G$163,"n.a.",0)="USD"),_xlfn.XLOOKUP("visa|"&amp;E$8&amp;"|noncurrent_debt",'Actuals'!$K$6:$K$163,'Actuals'!$F$6:$F$163,"n.a.",0)/1000000,"n.a."),"n.a.")</ns0:f>
        <ns0:v>20463</ns0:v>
      </ns0:c>
      <ns0:c r="F19" s="19" t="n">
        <ns0:f>IF(COUNTIFS('Actuals'!$K$6:$K$163,"visa|"&amp;F$8&amp;"|noncurrent_debt")=1,IF(AND(COUNTIFS('Actuals'!$K$6:$K$163,"visa|"&amp;F$8&amp;"|noncurrent_debt",'Actuals'!$F$6:$F$163,"&lt;&gt;")=1,ISNUMBER(_xlfn.XLOOKUP("visa|"&amp;F$8&amp;"|noncurrent_debt",'Actuals'!$K$6:$K$163,'Actuals'!$F$6:$F$163,"n.a.",0)),_xlfn.XLOOKUP("visa|"&amp;F$8&amp;"|noncurrent_debt",'Actuals'!$K$6:$K$163,'Actuals'!$G$6:$G$163,"n.a.",0)="USD"),_xlfn.XLOOKUP("visa|"&amp;F$8&amp;"|noncurrent_debt",'Actuals'!$K$6:$K$163,'Actuals'!$F$6:$F$163,"n.a.",0)/1000000,"n.a."),"n.a.")</ns0:f>
        <ns0:v>20836</ns0:v>
      </ns0:c>
      <ns0:c r="G19" s="19" t="n">
        <ns0:f>IF(COUNTIFS('Actuals'!$K$6:$K$163,"visa|"&amp;G$8&amp;"|noncurrent_debt")=1,IF(AND(COUNTIFS('Actuals'!$K$6:$K$163,"visa|"&amp;G$8&amp;"|noncurrent_debt",'Actuals'!$F$6:$F$163,"&lt;&gt;")=1,ISNUMBER(_xlfn.XLOOKUP("visa|"&amp;G$8&amp;"|noncurrent_debt",'Actuals'!$K$6:$K$163,'Actuals'!$F$6:$F$163,"n.a.",0)),_xlfn.XLOOKUP("visa|"&amp;G$8&amp;"|noncurrent_debt",'Actuals'!$K$6:$K$163,'Actuals'!$G$6:$G$163,"n.a.",0)="USD"),_xlfn.XLOOKUP("visa|"&amp;G$8&amp;"|noncurrent_debt",'Actuals'!$K$6:$K$163,'Actuals'!$F$6:$F$163,"n.a.",0)/1000000,"n.a."),"n.a.")</ns0:f>
        <ns0:v>19602</ns0:v>
      </ns0:c>
      <ns0:c r="H19" s="2"/>
    </ns0:row>
    <ns0:row r="20" ht="23" customHeight="1">
      <ns0:c r="B20" s="2" t="str">
        <ns0:v>Reported total assets</ns0:v>
      </ns0:c>
      <ns0:c r="C20" s="19" t="n">
        <ns0:f>IF(COUNTIFS('Actuals'!$K$6:$K$163,"visa|"&amp;C$8&amp;"|total_assets")=1,IF(AND(COUNTIFS('Actuals'!$K$6:$K$163,"visa|"&amp;C$8&amp;"|total_assets",'Actuals'!$F$6:$F$163,"&lt;&gt;")=1,ISNUMBER(_xlfn.XLOOKUP("visa|"&amp;C$8&amp;"|total_assets",'Actuals'!$K$6:$K$163,'Actuals'!$F$6:$F$163,"n.a.",0)),_xlfn.XLOOKUP("visa|"&amp;C$8&amp;"|total_assets",'Actuals'!$K$6:$K$163,'Actuals'!$G$6:$G$163,"n.a.",0)="USD"),_xlfn.XLOOKUP("visa|"&amp;C$8&amp;"|total_assets",'Actuals'!$K$6:$K$163,'Actuals'!$F$6:$F$163,"n.a.",0)/1000000,"n.a."),"n.a.")</ns0:f>
        <ns0:v>82896</ns0:v>
      </ns0:c>
      <ns0:c r="D20" s="19" t="n">
        <ns0:f>IF(COUNTIFS('Actuals'!$K$6:$K$163,"visa|"&amp;D$8&amp;"|total_assets")=1,IF(AND(COUNTIFS('Actuals'!$K$6:$K$163,"visa|"&amp;D$8&amp;"|total_assets",'Actuals'!$F$6:$F$163,"&lt;&gt;")=1,ISNUMBER(_xlfn.XLOOKUP("visa|"&amp;D$8&amp;"|total_assets",'Actuals'!$K$6:$K$163,'Actuals'!$F$6:$F$163,"n.a.",0)),_xlfn.XLOOKUP("visa|"&amp;D$8&amp;"|total_assets",'Actuals'!$K$6:$K$163,'Actuals'!$G$6:$G$163,"n.a.",0)="USD"),_xlfn.XLOOKUP("visa|"&amp;D$8&amp;"|total_assets",'Actuals'!$K$6:$K$163,'Actuals'!$F$6:$F$163,"n.a.",0)/1000000,"n.a."),"n.a.")</ns0:f>
        <ns0:v>85501</ns0:v>
      </ns0:c>
      <ns0:c r="E20" s="19" t="n">
        <ns0:f>IF(COUNTIFS('Actuals'!$K$6:$K$163,"visa|"&amp;E$8&amp;"|total_assets")=1,IF(AND(COUNTIFS('Actuals'!$K$6:$K$163,"visa|"&amp;E$8&amp;"|total_assets",'Actuals'!$F$6:$F$163,"&lt;&gt;")=1,ISNUMBER(_xlfn.XLOOKUP("visa|"&amp;E$8&amp;"|total_assets",'Actuals'!$K$6:$K$163,'Actuals'!$F$6:$F$163,"n.a.",0)),_xlfn.XLOOKUP("visa|"&amp;E$8&amp;"|total_assets",'Actuals'!$K$6:$K$163,'Actuals'!$G$6:$G$163,"n.a.",0)="USD"),_xlfn.XLOOKUP("visa|"&amp;E$8&amp;"|total_assets",'Actuals'!$K$6:$K$163,'Actuals'!$F$6:$F$163,"n.a.",0)/1000000,"n.a."),"n.a.")</ns0:f>
        <ns0:v>90499</ns0:v>
      </ns0:c>
      <ns0:c r="F20" s="19" t="n">
        <ns0:f>IF(COUNTIFS('Actuals'!$K$6:$K$163,"visa|"&amp;F$8&amp;"|total_assets")=1,IF(AND(COUNTIFS('Actuals'!$K$6:$K$163,"visa|"&amp;F$8&amp;"|total_assets",'Actuals'!$F$6:$F$163,"&lt;&gt;")=1,ISNUMBER(_xlfn.XLOOKUP("visa|"&amp;F$8&amp;"|total_assets",'Actuals'!$K$6:$K$163,'Actuals'!$F$6:$F$163,"n.a.",0)),_xlfn.XLOOKUP("visa|"&amp;F$8&amp;"|total_assets",'Actuals'!$K$6:$K$163,'Actuals'!$G$6:$G$163,"n.a.",0)="USD"),_xlfn.XLOOKUP("visa|"&amp;F$8&amp;"|total_assets",'Actuals'!$K$6:$K$163,'Actuals'!$F$6:$F$163,"n.a.",0)/1000000,"n.a."),"n.a.")</ns0:f>
        <ns0:v>94511</ns0:v>
      </ns0:c>
      <ns0:c r="G20" s="19" t="n">
        <ns0:f>IF(COUNTIFS('Actuals'!$K$6:$K$163,"visa|"&amp;G$8&amp;"|total_assets")=1,IF(AND(COUNTIFS('Actuals'!$K$6:$K$163,"visa|"&amp;G$8&amp;"|total_assets",'Actuals'!$F$6:$F$163,"&lt;&gt;")=1,ISNUMBER(_xlfn.XLOOKUP("visa|"&amp;G$8&amp;"|total_assets",'Actuals'!$K$6:$K$163,'Actuals'!$F$6:$F$163,"n.a.",0)),_xlfn.XLOOKUP("visa|"&amp;G$8&amp;"|total_assets",'Actuals'!$K$6:$K$163,'Actuals'!$G$6:$G$163,"n.a.",0)="USD"),_xlfn.XLOOKUP("visa|"&amp;G$8&amp;"|total_assets",'Actuals'!$K$6:$K$163,'Actuals'!$F$6:$F$163,"n.a.",0)/1000000,"n.a."),"n.a.")</ns0:f>
        <ns0:v>99627</ns0:v>
      </ns0:c>
      <ns0:c r="H20" s="2"/>
    </ns0:row>
    <ns0:row r="21" ht="23" customHeight="1">
      <ns0:c r="B21" s="2" t="str">
        <ns0:v>Reported total liabilities</ns0:v>
      </ns0:c>
      <ns0:c r="C21" s="19" t="n">
        <ns0:f>IF(COUNTIFS('Actuals'!$K$6:$K$163,"visa|"&amp;C$8&amp;"|total_liabilities")=1,IF(AND(COUNTIFS('Actuals'!$K$6:$K$163,"visa|"&amp;C$8&amp;"|total_liabilities",'Actuals'!$F$6:$F$163,"&lt;&gt;")=1,ISNUMBER(_xlfn.XLOOKUP("visa|"&amp;C$8&amp;"|total_liabilities",'Actuals'!$K$6:$K$163,'Actuals'!$F$6:$F$163,"n.a.",0)),_xlfn.XLOOKUP("visa|"&amp;C$8&amp;"|total_liabilities",'Actuals'!$K$6:$K$163,'Actuals'!$G$6:$G$163,"n.a.",0)="USD"),_xlfn.XLOOKUP("visa|"&amp;C$8&amp;"|total_liabilities",'Actuals'!$K$6:$K$163,'Actuals'!$F$6:$F$163,"n.a.",0)/1000000,"n.a."),"n.a.")</ns0:f>
        <ns0:v>45307</ns0:v>
      </ns0:c>
      <ns0:c r="D21" s="19" t="n">
        <ns0:f>IF(COUNTIFS('Actuals'!$K$6:$K$163,"visa|"&amp;D$8&amp;"|total_liabilities")=1,IF(AND(COUNTIFS('Actuals'!$K$6:$K$163,"visa|"&amp;D$8&amp;"|total_liabilities",'Actuals'!$F$6:$F$163,"&lt;&gt;")=1,ISNUMBER(_xlfn.XLOOKUP("visa|"&amp;D$8&amp;"|total_liabilities",'Actuals'!$K$6:$K$163,'Actuals'!$F$6:$F$163,"n.a.",0)),_xlfn.XLOOKUP("visa|"&amp;D$8&amp;"|total_liabilities",'Actuals'!$K$6:$K$163,'Actuals'!$G$6:$G$163,"n.a.",0)="USD"),_xlfn.XLOOKUP("visa|"&amp;D$8&amp;"|total_liabilities",'Actuals'!$K$6:$K$163,'Actuals'!$F$6:$F$163,"n.a.",0)/1000000,"n.a."),"n.a.")</ns0:f>
        <ns0:v>49920</ns0:v>
      </ns0:c>
      <ns0:c r="E21" s="19" t="n">
        <ns0:f>IF(COUNTIFS('Actuals'!$K$6:$K$163,"visa|"&amp;E$8&amp;"|total_liabilities")=1,IF(AND(COUNTIFS('Actuals'!$K$6:$K$163,"visa|"&amp;E$8&amp;"|total_liabilities",'Actuals'!$F$6:$F$163,"&lt;&gt;")=1,ISNUMBER(_xlfn.XLOOKUP("visa|"&amp;E$8&amp;"|total_liabilities",'Actuals'!$K$6:$K$163,'Actuals'!$F$6:$F$163,"n.a.",0)),_xlfn.XLOOKUP("visa|"&amp;E$8&amp;"|total_liabilities",'Actuals'!$K$6:$K$163,'Actuals'!$G$6:$G$163,"n.a.",0)="USD"),_xlfn.XLOOKUP("visa|"&amp;E$8&amp;"|total_liabilities",'Actuals'!$K$6:$K$163,'Actuals'!$F$6:$F$163,"n.a.",0)/1000000,"n.a."),"n.a.")</ns0:f>
        <ns0:v>51766</ns0:v>
      </ns0:c>
      <ns0:c r="F21" s="19" t="n">
        <ns0:f>IF(COUNTIFS('Actuals'!$K$6:$K$163,"visa|"&amp;F$8&amp;"|total_liabilities")=1,IF(AND(COUNTIFS('Actuals'!$K$6:$K$163,"visa|"&amp;F$8&amp;"|total_liabilities",'Actuals'!$F$6:$F$163,"&lt;&gt;")=1,ISNUMBER(_xlfn.XLOOKUP("visa|"&amp;F$8&amp;"|total_liabilities",'Actuals'!$K$6:$K$163,'Actuals'!$F$6:$F$163,"n.a.",0)),_xlfn.XLOOKUP("visa|"&amp;F$8&amp;"|total_liabilities",'Actuals'!$K$6:$K$163,'Actuals'!$G$6:$G$163,"n.a.",0)="USD"),_xlfn.XLOOKUP("visa|"&amp;F$8&amp;"|total_liabilities",'Actuals'!$K$6:$K$163,'Actuals'!$F$6:$F$163,"n.a.",0)/1000000,"n.a."),"n.a.")</ns0:f>
        <ns0:v>55374</ns0:v>
      </ns0:c>
      <ns0:c r="G21" s="19" t="n">
        <ns0:f>IF(COUNTIFS('Actuals'!$K$6:$K$163,"visa|"&amp;G$8&amp;"|total_liabilities")=1,IF(AND(COUNTIFS('Actuals'!$K$6:$K$163,"visa|"&amp;G$8&amp;"|total_liabilities",'Actuals'!$F$6:$F$163,"&lt;&gt;")=1,ISNUMBER(_xlfn.XLOOKUP("visa|"&amp;G$8&amp;"|total_liabilities",'Actuals'!$K$6:$K$163,'Actuals'!$F$6:$F$163,"n.a.",0)),_xlfn.XLOOKUP("visa|"&amp;G$8&amp;"|total_liabilities",'Actuals'!$K$6:$K$163,'Actuals'!$G$6:$G$163,"n.a.",0)="USD"),_xlfn.XLOOKUP("visa|"&amp;G$8&amp;"|total_liabilities",'Actuals'!$K$6:$K$163,'Actuals'!$F$6:$F$163,"n.a.",0)/1000000,"n.a."),"n.a.")</ns0:f>
        <ns0:v>61718</ns0:v>
      </ns0:c>
      <ns0:c r="H21" s="2"/>
    </ns0:row>
    <ns0:row r="22" ht="23" customHeight="1">
      <ns0:c r="B22" s="22" t="str">
        <ns0:v>Reported net revenue YoY growth</ns0:v>
      </ns0:c>
      <ns0:c r="C22" s="21" t="str">
        <ns0:f>"n.a."</ns0:f>
        <ns0:v>n.a.</ns0:v>
      </ns0:c>
      <ns0:c r="D22" s="21" t="n">
        <ns0:f>IF(AND(ISNUMBER(D12),ISNUMBER(C12),C12&gt;0),D12/C12-1,"n.a.")</ns0:f>
        <ns0:v>0.21593030491599263</ns0:v>
      </ns0:c>
      <ns0:c r="E22" s="21" t="n">
        <ns0:f>IF(AND(ISNUMBER(E12),ISNUMBER(D12),D12&gt;0),E12/D12-1,"n.a.")</ns0:f>
        <ns0:v>0.11405663596042315</ns0:v>
      </ns0:c>
      <ns0:c r="F22" s="21" t="n">
        <ns0:f>IF(AND(ISNUMBER(F12),ISNUMBER(E12),E12&gt;0),F12/E12-1,"n.a.")</ns0:f>
        <ns0:v>0.10023581294214923</ns0:v>
      </ns0:c>
      <ns0:c r="G22" s="21" t="n">
        <ns0:f>IF(AND(ISNUMBER(G12),ISNUMBER(F12),F12&gt;0),G12/F12-1,"n.a.")</ns0:f>
        <ns0:v>0.11339976618604908</ns0:v>
      </ns0:c>
      <ns0:c r="H22" s="2"/>
    </ns0:row>
    <ns0:row r="23" ht="23" customHeight="1">
      <ns0:c r="B23" s="22" t="str">
        <ns0:v>Reported operating income YoY growth</ns0:v>
      </ns0:c>
      <ns0:c r="C23" s="21" t="str">
        <ns0:f>"n.a."</ns0:f>
        <ns0:v>n.a.</ns0:v>
      </ns0:c>
      <ns0:c r="D23" s="21" t="n">
        <ns0:f>IF(AND(ISNUMBER(D14),ISNUMBER(C14),C14&gt;0),D14/C14-1,"n.a.")</ns0:f>
        <ns0:v>0.19039483675018976</ns0:v>
      </ns0:c>
      <ns0:c r="E23" s="21" t="n">
        <ns0:f>IF(AND(ISNUMBER(E14),ISNUMBER(D14),D14&gt;0),E14/D14-1,"n.a.")</ns0:f>
        <ns0:v>0.11624940200924883</ns0:v>
      </ns0:c>
      <ns0:c r="F23" s="21" t="n">
        <ns0:f>IF(AND(ISNUMBER(F14),ISNUMBER(E14),E14&gt;0),F14/E14-1,"n.a.")</ns0:f>
        <ns0:v>0.12357142857142867</ns0:v>
      </ns0:c>
      <ns0:c r="G23" s="21" t="n">
        <ns0:f>IF(AND(ISNUMBER(G14),ISNUMBER(F14),F14&gt;0),G14/F14-1,"n.a.")</ns0:f>
        <ns0:v>0.01691036236490784</ns0:v>
      </ns0:c>
      <ns0:c r="H23" s="2"/>
    </ns0:row>
    <ns0:row r="24" ht="23" customHeight="1">
      <ns0:c r="B24" s="22" t="str">
        <ns0:v>Operating margin</ns0:v>
      </ns0:c>
      <ns0:c r="C24" s="21" t="n">
        <ns0:f>IF(AND(ISNUMBER(C14),ISNUMBER(C12),C12&gt;0),C14/C12,"n.a.")</ns0:f>
        <ns0:v>0.6556316116988177</ns0:v>
      </ns0:c>
      <ns0:c r="D24" s="21" t="n">
        <ns0:f>IF(AND(ISNUMBER(D14),ISNUMBER(D12),D12&gt;0),D14/D12,"n.a.")</ns0:f>
        <ns0:v>0.6418628454452405</ns0:v>
      </ns0:c>
      <ns0:c r="E24" s="21" t="n">
        <ns0:f>IF(AND(ISNUMBER(E14),ISNUMBER(E12),E12&gt;0),E14/E12,"n.a.")</ns0:f>
        <ns0:v>0.6431262058616359</ns0:v>
      </ns0:c>
      <ns0:c r="F24" s="21" t="n">
        <ns0:f>IF(AND(ISNUMBER(F14),ISNUMBER(F12),F12&gt;0),F14/F12,"n.a.")</ns0:f>
        <ns0:v>0.6567666870789957</ns0:v>
      </ns0:c>
      <ns0:c r="G24" s="21" t="n">
        <ns0:f>IF(AND(ISNUMBER(G14),ISNUMBER(G12),G12&gt;0),G14/G12,"n.a.")</ns0:f>
        <ns0:v>0.59985</ns0:v>
      </ns0:c>
      <ns0:c r="H24" s="2"/>
    </ns0:row>
    <ns0:row r="25" ht="23" customHeight="1">
      <ns0:c r="B25" s="22" t="str">
        <ns0:v>Consolidated net margin</ns0:v>
      </ns0:c>
      <ns0:c r="C25" s="21" t="n">
        <ns0:f>IF(AND(ISNUMBER(C15),ISNUMBER(C12),C12&gt;0),C15/C12,"n.a.")</ns0:f>
        <ns0:v>0.5107239161999585</ns0:v>
      </ns0:c>
      <ns0:c r="D25" s="21" t="n">
        <ns0:f>IF(AND(ISNUMBER(D15),ISNUMBER(D12),D12&gt;0),D15/D12,"n.a.")</ns0:f>
        <ns0:v>0.5103036506311839</ns0:v>
      </ns0:c>
      <ns0:c r="E25" s="21" t="n">
        <ns0:f>IF(AND(ISNUMBER(E15),ISNUMBER(E12),E12&gt;0),E15/E12,"n.a.")</ns0:f>
        <ns0:v>0.5289866168499066</ns0:v>
      </ns0:c>
      <ns0:c r="F25" s="21" t="n">
        <ns0:f>IF(AND(ISNUMBER(F15),ISNUMBER(F12),F12&gt;0),F15/F12,"n.a.")</ns0:f>
        <ns0:v>0.5495462895952792</ns0:v>
      </ns0:c>
      <ns0:c r="G25" s="21" t="n">
        <ns0:f>IF(AND(ISNUMBER(G15),ISNUMBER(G12),G12&gt;0),G15/G12,"n.a.")</ns0:f>
        <ns0:v>0.50145</ns0:v>
      </ns0:c>
      <ns0:c r="H25" s="2"/>
    </ns0:row>
    <ns0:row r="26" ht="23" customHeight="1">
      <ns0:c r="B26" s="22" t="str">
        <ns0:v>Operating expense ratio</ns0:v>
      </ns0:c>
      <ns0:c r="C26" s="21" t="n">
        <ns0:f>IF(AND(ISNUMBER(C13),ISNUMBER(C12),C12&gt;0),C13/C12,"n.a.")</ns0:f>
        <ns0:v>0.3443683883011823</ns0:v>
      </ns0:c>
      <ns0:c r="D26" s="21" t="n">
        <ns0:f>IF(AND(ISNUMBER(D13),ISNUMBER(D12),D12&gt;0),D13/D12,"n.a.")</ns0:f>
        <ns0:v>0.3581371545547595</ns0:v>
      </ns0:c>
      <ns0:c r="E26" s="21" t="n">
        <ns0:f>IF(AND(ISNUMBER(E13),ISNUMBER(E12),E12&gt;0),E13/E12,"n.a.")</ns0:f>
        <ns0:v>0.356873794138364</ns0:v>
      </ns0:c>
      <ns0:c r="F26" s="21" t="n">
        <ns0:f>IF(AND(ISNUMBER(F13),ISNUMBER(F12),F12&gt;0),F13/F12,"n.a.")</ns0:f>
        <ns0:v>0.3432333129210043</ns0:v>
      </ns0:c>
      <ns0:c r="G26" s="21" t="n">
        <ns0:f>IF(AND(ISNUMBER(G13),ISNUMBER(G12),G12&gt;0),G13/G12,"n.a.")</ns0:f>
        <ns0:v>0.40015</ns0:v>
      </ns0:c>
      <ns0:c r="H26" s="2"/>
    </ns0:row>
    <ns0:row r="27" ht="23" customHeight="1">
      <ns0:c r="B27" s="22" t="str">
        <ns0:v>OCF / consolidated net income</ns0:v>
      </ns0:c>
      <ns0:c r="C27" s="23" t="n">
        <ns0:f>IF(AND(ISNUMBER(C16),ISNUMBER(C15),C15&gt;0),C16/C15,"n.a.")</ns0:f>
        <ns0:v>1.2368613435139306</ns0:v>
      </ns0:c>
      <ns0:c r="D27" s="23" t="n">
        <ns0:f>IF(AND(ISNUMBER(D16),ISNUMBER(D15),D15&gt;0),D16/D15,"n.a.")</ns0:f>
        <ns0:v>1.2602126094805108</ns0:v>
      </ns0:c>
      <ns0:c r="E27" s="23" t="n">
        <ns0:f>IF(AND(ISNUMBER(E16),ISNUMBER(E15),E15&gt;0),E16/E15,"n.a.")</ns0:f>
        <ns0:v>1.2015862907427777</ns0:v>
      </ns0:c>
      <ns0:c r="F27" s="23" t="n">
        <ns0:f>IF(AND(ISNUMBER(F16),ISNUMBER(F15),F15&gt;0),F16/F15,"n.a.")</ns0:f>
        <ns0:v>1.0104847287646255</ns0:v>
      </ns0:c>
      <ns0:c r="G27" s="23" t="n">
        <ns0:f>IF(AND(ISNUMBER(G16),ISNUMBER(G15),G15&gt;0),G16/G15,"n.a.")</ns0:f>
        <ns0:v>1.1496161132715126</ns0:v>
      </ns0:c>
      <ns0:c r="H27" s="2"/>
    </ns0:row>
    <ns0:row r="28" ht="23" customHeight="1">
      <ns0:c r="B28" s="22" t="str">
        <ns0:v>Operating margin YoY change</ns0:v>
      </ns0:c>
      <ns0:c r="C28" s="24" t="str">
        <ns0:f>"n.a."</ns0:f>
        <ns0:v>n.a.</ns0:v>
      </ns0:c>
      <ns0:c r="D28" s="24" t="n">
        <ns0:f>IF(AND(ISNUMBER(D24),ISNUMBER(C24)),(D24-C24)*100,"n.a.")</ns0:f>
        <ns0:v>-1.3768766253577147</ns0:v>
      </ns0:c>
      <ns0:c r="E28" s="24" t="n">
        <ns0:f>IF(AND(ISNUMBER(E24),ISNUMBER(D24)),(E24-D24)*100,"n.a.")</ns0:f>
        <ns0:v>0.12633604163954093</ns0:v>
      </ns0:c>
      <ns0:c r="F28" s="24" t="n">
        <ns0:f>IF(AND(ISNUMBER(F24),ISNUMBER(E24)),(F24-E24)*100,"n.a.")</ns0:f>
        <ns0:v>1.3640481217359723</ns0:v>
      </ns0:c>
      <ns0:c r="G28" s="24" t="n">
        <ns0:f>IF(AND(ISNUMBER(G24),ISNUMBER(F24)),(G24-F24)*100,"n.a.")</ns0:f>
        <ns0:v>-5.6916687078995665</ns0:v>
      </ns0:c>
      <ns0:c r="H28" s="2"/>
    </ns0:row>
    <ns0:row r="29" ht="23" customHeight="1">
      <ns0:c r="B29" s="2" t="str">
        <ns0:v>Defined capital cash payments</ns0:v>
      </ns0:c>
      <ns0:c r="C29" s="19" t="n">
        <ns0:f>IF(AND(ISNUMBER(IF(COUNTIFS('Actuals'!$K$6:$K$163,"visa|"&amp;C$8&amp;"|capital_payments_primary")=1,IF(AND(COUNTIFS('Actuals'!$K$6:$K$163,"visa|"&amp;C$8&amp;"|capital_payments_primary",'Actuals'!$F$6:$F$163,"&lt;&gt;")=1,ISNUMBER(_xlfn.XLOOKUP("visa|"&amp;C$8&amp;"|capital_payments_primary",'Actuals'!$K$6:$K$163,'Actuals'!$F$6:$F$163,"n.a.",0)),_xlfn.XLOOKUP("visa|"&amp;C$8&amp;"|capital_payments_primary",'Actuals'!$K$6:$K$163,'Actuals'!$G$6:$G$163,"n.a.",0)="USD"),_xlfn.XLOOKUP("visa|"&amp;C$8&amp;"|capital_payments_primary",'Actuals'!$K$6:$K$163,'Actuals'!$F$6:$F$163,"n.a.",0)/1000000,"n.a."),"n.a."))),SUM(IF(COUNTIFS('Actuals'!$K$6:$K$163,"visa|"&amp;C$8&amp;"|capital_payments_primary")=1,IF(AND(COUNTIFS('Actuals'!$K$6:$K$163,"visa|"&amp;C$8&amp;"|capital_payments_primary",'Actuals'!$F$6:$F$163,"&lt;&gt;")=1,ISNUMBER(_xlfn.XLOOKUP("visa|"&amp;C$8&amp;"|capital_payments_primary",'Actuals'!$K$6:$K$163,'Actuals'!$F$6:$F$163,"n.a.",0)),_xlfn.XLOOKUP("visa|"&amp;C$8&amp;"|capital_payments_primary",'Actuals'!$K$6:$K$163,'Actuals'!$G$6:$G$163,"n.a.",0)="USD"),_xlfn.XLOOKUP("visa|"&amp;C$8&amp;"|capital_payments_primary",'Actuals'!$K$6:$K$163,'Actuals'!$F$6:$F$163,"n.a.",0)/1000000,"n.a."),"n.a.")),"n.a.")</ns0:f>
        <ns0:v>705</ns0:v>
      </ns0:c>
      <ns0:c r="D29" s="19" t="n">
        <ns0:f>IF(AND(ISNUMBER(IF(COUNTIFS('Actuals'!$K$6:$K$163,"visa|"&amp;D$8&amp;"|capital_payments_primary")=1,IF(AND(COUNTIFS('Actuals'!$K$6:$K$163,"visa|"&amp;D$8&amp;"|capital_payments_primary",'Actuals'!$F$6:$F$163,"&lt;&gt;")=1,ISNUMBER(_xlfn.XLOOKUP("visa|"&amp;D$8&amp;"|capital_payments_primary",'Actuals'!$K$6:$K$163,'Actuals'!$F$6:$F$163,"n.a.",0)),_xlfn.XLOOKUP("visa|"&amp;D$8&amp;"|capital_payments_primary",'Actuals'!$K$6:$K$163,'Actuals'!$G$6:$G$163,"n.a.",0)="USD"),_xlfn.XLOOKUP("visa|"&amp;D$8&amp;"|capital_payments_primary",'Actuals'!$K$6:$K$163,'Actuals'!$F$6:$F$163,"n.a.",0)/1000000,"n.a."),"n.a."))),SUM(IF(COUNTIFS('Actuals'!$K$6:$K$163,"visa|"&amp;D$8&amp;"|capital_payments_primary")=1,IF(AND(COUNTIFS('Actuals'!$K$6:$K$163,"visa|"&amp;D$8&amp;"|capital_payments_primary",'Actuals'!$F$6:$F$163,"&lt;&gt;")=1,ISNUMBER(_xlfn.XLOOKUP("visa|"&amp;D$8&amp;"|capital_payments_primary",'Actuals'!$K$6:$K$163,'Actuals'!$F$6:$F$163,"n.a.",0)),_xlfn.XLOOKUP("visa|"&amp;D$8&amp;"|capital_payments_primary",'Actuals'!$K$6:$K$163,'Actuals'!$G$6:$G$163,"n.a.",0)="USD"),_xlfn.XLOOKUP("visa|"&amp;D$8&amp;"|capital_payments_primary",'Actuals'!$K$6:$K$163,'Actuals'!$F$6:$F$163,"n.a.",0)/1000000,"n.a."),"n.a.")),"n.a.")</ns0:f>
        <ns0:v>970</ns0:v>
      </ns0:c>
      <ns0:c r="E29" s="19" t="n">
        <ns0:f>IF(AND(ISNUMBER(IF(COUNTIFS('Actuals'!$K$6:$K$163,"visa|"&amp;E$8&amp;"|capital_payments_primary")=1,IF(AND(COUNTIFS('Actuals'!$K$6:$K$163,"visa|"&amp;E$8&amp;"|capital_payments_primary",'Actuals'!$F$6:$F$163,"&lt;&gt;")=1,ISNUMBER(_xlfn.XLOOKUP("visa|"&amp;E$8&amp;"|capital_payments_primary",'Actuals'!$K$6:$K$163,'Actuals'!$F$6:$F$163,"n.a.",0)),_xlfn.XLOOKUP("visa|"&amp;E$8&amp;"|capital_payments_primary",'Actuals'!$K$6:$K$163,'Actuals'!$G$6:$G$163,"n.a.",0)="USD"),_xlfn.XLOOKUP("visa|"&amp;E$8&amp;"|capital_payments_primary",'Actuals'!$K$6:$K$163,'Actuals'!$F$6:$F$163,"n.a.",0)/1000000,"n.a."),"n.a."))),SUM(IF(COUNTIFS('Actuals'!$K$6:$K$163,"visa|"&amp;E$8&amp;"|capital_payments_primary")=1,IF(AND(COUNTIFS('Actuals'!$K$6:$K$163,"visa|"&amp;E$8&amp;"|capital_payments_primary",'Actuals'!$F$6:$F$163,"&lt;&gt;")=1,ISNUMBER(_xlfn.XLOOKUP("visa|"&amp;E$8&amp;"|capital_payments_primary",'Actuals'!$K$6:$K$163,'Actuals'!$F$6:$F$163,"n.a.",0)),_xlfn.XLOOKUP("visa|"&amp;E$8&amp;"|capital_payments_primary",'Actuals'!$K$6:$K$163,'Actuals'!$G$6:$G$163,"n.a.",0)="USD"),_xlfn.XLOOKUP("visa|"&amp;E$8&amp;"|capital_payments_primary",'Actuals'!$K$6:$K$163,'Actuals'!$F$6:$F$163,"n.a.",0)/1000000,"n.a."),"n.a.")),"n.a.")</ns0:f>
        <ns0:v>1059</ns0:v>
      </ns0:c>
      <ns0:c r="F29" s="19" t="n">
        <ns0:f>IF(AND(ISNUMBER(IF(COUNTIFS('Actuals'!$K$6:$K$163,"visa|"&amp;F$8&amp;"|capital_payments_primary")=1,IF(AND(COUNTIFS('Actuals'!$K$6:$K$163,"visa|"&amp;F$8&amp;"|capital_payments_primary",'Actuals'!$F$6:$F$163,"&lt;&gt;")=1,ISNUMBER(_xlfn.XLOOKUP("visa|"&amp;F$8&amp;"|capital_payments_primary",'Actuals'!$K$6:$K$163,'Actuals'!$F$6:$F$163,"n.a.",0)),_xlfn.XLOOKUP("visa|"&amp;F$8&amp;"|capital_payments_primary",'Actuals'!$K$6:$K$163,'Actuals'!$G$6:$G$163,"n.a.",0)="USD"),_xlfn.XLOOKUP("visa|"&amp;F$8&amp;"|capital_payments_primary",'Actuals'!$K$6:$K$163,'Actuals'!$F$6:$F$163,"n.a.",0)/1000000,"n.a."),"n.a."))),SUM(IF(COUNTIFS('Actuals'!$K$6:$K$163,"visa|"&amp;F$8&amp;"|capital_payments_primary")=1,IF(AND(COUNTIFS('Actuals'!$K$6:$K$163,"visa|"&amp;F$8&amp;"|capital_payments_primary",'Actuals'!$F$6:$F$163,"&lt;&gt;")=1,ISNUMBER(_xlfn.XLOOKUP("visa|"&amp;F$8&amp;"|capital_payments_primary",'Actuals'!$K$6:$K$163,'Actuals'!$F$6:$F$163,"n.a.",0)),_xlfn.XLOOKUP("visa|"&amp;F$8&amp;"|capital_payments_primary",'Actuals'!$K$6:$K$163,'Actuals'!$G$6:$G$163,"n.a.",0)="USD"),_xlfn.XLOOKUP("visa|"&amp;F$8&amp;"|capital_payments_primary",'Actuals'!$K$6:$K$163,'Actuals'!$F$6:$F$163,"n.a.",0)/1000000,"n.a."),"n.a.")),"n.a.")</ns0:f>
        <ns0:v>1257</ns0:v>
      </ns0:c>
      <ns0:c r="G29" s="19" t="n">
        <ns0:f>IF(AND(ISNUMBER(IF(COUNTIFS('Actuals'!$K$6:$K$163,"visa|"&amp;G$8&amp;"|capital_payments_primary")=1,IF(AND(COUNTIFS('Actuals'!$K$6:$K$163,"visa|"&amp;G$8&amp;"|capital_payments_primary",'Actuals'!$F$6:$F$163,"&lt;&gt;")=1,ISNUMBER(_xlfn.XLOOKUP("visa|"&amp;G$8&amp;"|capital_payments_primary",'Actuals'!$K$6:$K$163,'Actuals'!$F$6:$F$163,"n.a.",0)),_xlfn.XLOOKUP("visa|"&amp;G$8&amp;"|capital_payments_primary",'Actuals'!$K$6:$K$163,'Actuals'!$G$6:$G$163,"n.a.",0)="USD"),_xlfn.XLOOKUP("visa|"&amp;G$8&amp;"|capital_payments_primary",'Actuals'!$K$6:$K$163,'Actuals'!$F$6:$F$163,"n.a.",0)/1000000,"n.a."),"n.a."))),SUM(IF(COUNTIFS('Actuals'!$K$6:$K$163,"visa|"&amp;G$8&amp;"|capital_payments_primary")=1,IF(AND(COUNTIFS('Actuals'!$K$6:$K$163,"visa|"&amp;G$8&amp;"|capital_payments_primary",'Actuals'!$F$6:$F$163,"&lt;&gt;")=1,ISNUMBER(_xlfn.XLOOKUP("visa|"&amp;G$8&amp;"|capital_payments_primary",'Actuals'!$K$6:$K$163,'Actuals'!$F$6:$F$163,"n.a.",0)),_xlfn.XLOOKUP("visa|"&amp;G$8&amp;"|capital_payments_primary",'Actuals'!$K$6:$K$163,'Actuals'!$G$6:$G$163,"n.a.",0)="USD"),_xlfn.XLOOKUP("visa|"&amp;G$8&amp;"|capital_payments_primary",'Actuals'!$K$6:$K$163,'Actuals'!$F$6:$F$163,"n.a.",0)/1000000,"n.a."),"n.a.")),"n.a.")</ns0:f>
        <ns0:v>1482</ns0:v>
      </ns0:c>
      <ns0:c r="H29" s="2"/>
    </ns0:row>
    <ns0:row r="30" ht="23" customHeight="1">
      <ns0:c r="B30" s="2" t="str">
        <ns0:v>OCF less defined capital payments</ns0:v>
      </ns0:c>
      <ns0:c r="C30" s="19" t="n">
        <ns0:f>IF(AND(ISNUMBER(C16),ISNUMBER(C29)),C16-C29,"n.a.")</ns0:f>
        <ns0:v>14522</ns0:v>
      </ns0:c>
      <ns0:c r="D30" s="19" t="n">
        <ns0:f>IF(AND(ISNUMBER(D16),ISNUMBER(D29)),D16-D29,"n.a.")</ns0:f>
        <ns0:v>17879</ns0:v>
      </ns0:c>
      <ns0:c r="E30" s="19" t="n">
        <ns0:f>IF(AND(ISNUMBER(E16),ISNUMBER(E29)),E16-E29,"n.a.")</ns0:f>
        <ns0:v>19696</ns0:v>
      </ns0:c>
      <ns0:c r="F30" s="19" t="n">
        <ns0:f>IF(AND(ISNUMBER(F16),ISNUMBER(F29)),F16-F29,"n.a.")</ns0:f>
        <ns0:v>18693</ns0:v>
      </ns0:c>
      <ns0:c r="G30" s="19" t="n">
        <ns0:f>IF(AND(ISNUMBER(G16),ISNUMBER(G29)),G16-G29,"n.a.")</ns0:f>
        <ns0:v>21577</ns0:v>
      </ns0:c>
      <ns0:c r="H30" s="2"/>
    </ns0:row>
    <ns0:row r="31" ht="23" customHeight="1">
      <ns0:c r="B31" s="22" t="str">
        <ns0:v>FCF proxy / net revenue</ns0:v>
      </ns0:c>
      <ns0:c r="C31" s="26" t="n">
        <ns0:f>IF(AND(ISNUMBER(C30),ISNUMBER(C12),C12&gt;0),C30/C12,"n.a.")</ns0:f>
        <ns0:v>0.6024476249740718</ns0:v>
      </ns0:c>
      <ns0:c r="D31" s="26" t="n">
        <ns0:f>IF(AND(ISNUMBER(D30),ISNUMBER(D12),D12&gt;0),D30/D12,"n.a.")</ns0:f>
        <ns0:v>0.6099965881951552</ns0:v>
      </ns0:c>
      <ns0:c r="E31" s="26" t="n">
        <ns0:f>IF(AND(ISNUMBER(E30),ISNUMBER(E12),E12&gt;0),E30/E12,"n.a.")</ns0:f>
        <ns0:v>0.6031911309833706</ns0:v>
      </ns0:c>
      <ns0:c r="F31" s="26" t="n">
        <ns0:f>IF(AND(ISNUMBER(F30),ISNUMBER(F12),F12&gt;0),F30/F12,"n.a.")</ns0:f>
        <ns0:v>0.5203195457328954</ns0:v>
      </ns0:c>
      <ns0:c r="G31" s="26" t="n">
        <ns0:f>IF(AND(ISNUMBER(G30),ISNUMBER(G12),G12&gt;0),G30/G12,"n.a.")</ns0:f>
        <ns0:v>0.539425</ns0:v>
      </ns0:c>
      <ns0:c r="H31" s="2"/>
    </ns0:row>
    <ns0:row r="32" ht="23" customHeight="1">
      <ns0:c r="B32" s="2" t="str">
        <ns0:v>Selected debt carrying total</ns0:v>
      </ns0:c>
      <ns0:c r="C32" s="28" t="n">
        <ns0:f>IF(AND(ISNUMBER(C18),ISNUMBER(C19)),SUM(C18,C19),"n.a.")</ns0:f>
        <ns0:v>20977</ns0:v>
      </ns0:c>
      <ns0:c r="D32" s="28" t="n">
        <ns0:f>IF(AND(ISNUMBER(D18),ISNUMBER(D19)),SUM(D18,D19),"n.a.")</ns0:f>
        <ns0:v>22450</ns0:v>
      </ns0:c>
      <ns0:c r="E32" s="28" t="n">
        <ns0:f>IF(AND(ISNUMBER(E18),ISNUMBER(E19)),SUM(E18,E19),"n.a.")</ns0:f>
        <ns0:v>20463</ns0:v>
      </ns0:c>
      <ns0:c r="F32" s="28" t="n">
        <ns0:f>IF(AND(ISNUMBER(F18),ISNUMBER(F19)),SUM(F18,F19),"n.a.")</ns0:f>
        <ns0:v>20836</ns0:v>
      </ns0:c>
      <ns0:c r="G32" s="28" t="n">
        <ns0:f>IF(AND(ISNUMBER(G18),ISNUMBER(G19)),SUM(G18,G19),"n.a.")</ns0:f>
        <ns0:v>25171</ns0:v>
      </ns0:c>
      <ns0:c r="H32" s="2"/>
    </ns0:row>
    <ns0:row r="33" ht="23" customHeight="1">
      <ns0:c r="B33" s="2" t="str">
        <ns0:v>Selected debt less cash proxy</ns0:v>
      </ns0:c>
      <ns0:c r="C33" s="28" t="n">
        <ns0:f>IF(AND(ISNUMBER(C32),ISNUMBER(C17)),C32-C17,"n.a.")</ns0:f>
        <ns0:v>4490</ns0:v>
      </ns0:c>
      <ns0:c r="D33" s="28" t="n">
        <ns0:f>IF(AND(ISNUMBER(D32),ISNUMBER(D17)),D32-D17,"n.a.")</ns0:f>
        <ns0:v>6761</ns0:v>
      </ns0:c>
      <ns0:c r="E33" s="28" t="n">
        <ns0:f>IF(AND(ISNUMBER(E32),ISNUMBER(E17)),E32-E17,"n.a.")</ns0:f>
        <ns0:v>4177</ns0:v>
      </ns0:c>
      <ns0:c r="F33" s="28" t="n">
        <ns0:f>IF(AND(ISNUMBER(F32),ISNUMBER(F17)),F32-F17,"n.a.")</ns0:f>
        <ns0:v>8861</ns0:v>
      </ns0:c>
      <ns0:c r="G33" s="28" t="n">
        <ns0:f>IF(AND(ISNUMBER(G32),ISNUMBER(G17)),G32-G17,"n.a.")</ns0:f>
        <ns0:v>8007</ns0:v>
      </ns0:c>
      <ns0:c r="H33" s="2"/>
    </ns0:row>
    <ns0:row r="34" ht="23" customHeight="1">
      <ns0:c r="B34" s="22" t="str">
        <ns0:v>Selected debt / total assets</ns0:v>
      </ns0:c>
      <ns0:c r="C34" s="21" t="n">
        <ns0:f>IF(AND(ISNUMBER(C32),ISNUMBER(C20),C20&gt;0),C32/C20,"n.a.")</ns0:f>
        <ns0:v>0.253052016985138</ns0:v>
      </ns0:c>
      <ns0:c r="D34" s="21" t="n">
        <ns0:f>IF(AND(ISNUMBER(D32),ISNUMBER(D20),D20&gt;0),D32/D20,"n.a.")</ns0:f>
        <ns0:v>0.26257002842072025</ns0:v>
      </ns0:c>
      <ns0:c r="E34" s="21" t="n">
        <ns0:f>IF(AND(ISNUMBER(E32),ISNUMBER(E20),E20&gt;0),E32/E20,"n.a.")</ns0:f>
        <ns0:v>0.22611299572370966</ns0:v>
      </ns0:c>
      <ns0:c r="F34" s="21" t="n">
        <ns0:f>IF(AND(ISNUMBER(F32),ISNUMBER(F20),F20&gt;0),F32/F20,"n.a.")</ns0:f>
        <ns0:v>0.22046111034694374</ns0:v>
      </ns0:c>
      <ns0:c r="G34" s="21" t="n">
        <ns0:f>IF(AND(ISNUMBER(G32),ISNUMBER(G20),G20&gt;0),G32/G20,"n.a.")</ns0:f>
        <ns0:v>0.2526523934274845</ns0:v>
      </ns0:c>
      <ns0:c r="H34" s="2"/>
    </ns0:row>
    <ns0:row r="35" ht="23" customHeight="1">
      <ns0:c r="B35" s="22" t="str">
        <ns0:v>Total liabilities / total assets</ns0:v>
      </ns0:c>
      <ns0:c r="C35" s="21" t="n">
        <ns0:f>IF(AND(ISNUMBER(C21),ISNUMBER(C20),C20&gt;0),C21/C20,"n.a.")</ns0:f>
        <ns0:v>0.5465523065045358</ns0:v>
      </ns0:c>
      <ns0:c r="D35" s="21" t="n">
        <ns0:f>IF(AND(ISNUMBER(D21),ISNUMBER(D20),D20&gt;0),D21/D20,"n.a.")</ns0:f>
        <ns0:v>0.5838528204348488</ns0:v>
      </ns0:c>
      <ns0:c r="E35" s="21" t="n">
        <ns0:f>IF(AND(ISNUMBER(E21),ISNUMBER(E20),E20&gt;0),E21/E20,"n.a.")</ns0:f>
        <ns0:v>0.5720063205118289</ns0:v>
      </ns0:c>
      <ns0:c r="F35" s="21" t="n">
        <ns0:f>IF(AND(ISNUMBER(F21),ISNUMBER(F20),F20&gt;0),F21/F20,"n.a.")</ns0:f>
        <ns0:v>0.5859000539619726</ns0:v>
      </ns0:c>
      <ns0:c r="G35" s="21" t="n">
        <ns0:f>IF(AND(ISNUMBER(G21),ISNUMBER(G20),G20&gt;0),G21/G20,"n.a.")</ns0:f>
        <ns0:v>0.6194907003121644</ns0:v>
      </ns0:c>
      <ns0:c r="H35" s="2"/>
    </ns0:row>
    <ns0:row r="36" ht="23" customHeight="1">
      <ns0:c r="B36" s="22" t="str">
        <ns0:v>Cash equivalents / selected debt</ns0:v>
      </ns0:c>
      <ns0:c r="C36" s="23" t="n">
        <ns0:f>IF(AND(ISNUMBER(C17),ISNUMBER(C32),C32&gt;0),C17/C32,"n.a.")</ns0:f>
        <ns0:v>0.7859560470992039</ns0:v>
      </ns0:c>
      <ns0:c r="D36" s="23" t="n">
        <ns0:f>IF(AND(ISNUMBER(D17),ISNUMBER(D32),D32&gt;0),D17/D32,"n.a.")</ns0:f>
        <ns0:v>0.6988418708240535</ns0:v>
      </ns0:c>
      <ns0:c r="E36" s="23" t="n">
        <ns0:f>IF(AND(ISNUMBER(E17),ISNUMBER(E32),E32&gt;0),E17/E32,"n.a.")</ns0:f>
        <ns0:v>0.7958754825783121</ns0:v>
      </ns0:c>
      <ns0:c r="F36" s="23" t="n">
        <ns0:f>IF(AND(ISNUMBER(F17),ISNUMBER(F32),F32&gt;0),F17/F32,"n.a.")</ns0:f>
        <ns0:v>0.5747264350163179</ns0:v>
      </ns0:c>
      <ns0:c r="G36" s="23" t="n">
        <ns0:f>IF(AND(ISNUMBER(G17),ISNUMBER(G32),G32&gt;0),G17/G32,"n.a.")</ns0:f>
        <ns0:v>0.6818958325056613</ns0:v>
      </ns0:c>
      <ns0:c r="H36" s="2"/>
    </ns0:row>
    <ns0:row r="37" ht="23" customHeight="1">
      <ns0:c r="B37" s="2"/>
      <ns0:c r="C37" s="2"/>
      <ns0:c r="D37" s="2"/>
      <ns0:c r="E37" s="2"/>
      <ns0:c r="F37" s="2"/>
      <ns0:c r="G37" s="2"/>
      <ns0:c r="H37" s="2"/>
    </ns0:row>
    <ns0:row r="38" ht="23" customHeight="1">
      <ns0:c r="B38" s="2" t="str">
        <ns0:v>First-year changes are n.a.: no verified FY2020 input.</ns0:v>
      </ns0:c>
      <ns0:c r="C38" s="2"/>
      <ns0:c r="D38" s="2"/>
      <ns0:c r="E38" s="2"/>
      <ns0:c r="F38" s="2"/>
      <ns0:c r="G38" s="2"/>
      <ns0:c r="H38" s="2"/>
    </ns0:row>
    <ns0:row r="39" ht="23" customHeight="1">
      <ns0:c r="B39" s="2"/>
      <ns0:c r="C39" s="2"/>
      <ns0:c r="D39" s="2"/>
      <ns0:c r="E39" s="2"/>
      <ns0:c r="F39" s="2"/>
      <ns0:c r="G39" s="2"/>
      <ns0:c r="H39" s="2"/>
    </ns0:row>
    <ns0:row r="40" ht="23" customHeight="1">
      <ns0:c r="B40" s="2" t="str">
        <ns0:v>Visa year end Sep30; Mastercard Dec31. No calendar adjustment.</ns0:v>
      </ns0:c>
      <ns0:c r="C40" s="2"/>
      <ns0:c r="D40" s="2"/>
      <ns0:c r="E40" s="2"/>
      <ns0:c r="F40" s="2"/>
      <ns0:c r="G40" s="2"/>
      <ns0:c r="H40" s="2"/>
    </ns0:row>
    <ns0:row r="41" ht="23" customHeight="1">
      <ns0:c r="B41" s="2"/>
      <ns0:c r="C41" s="2"/>
      <ns0:c r="D41" s="2"/>
      <ns0:c r="E41" s="2"/>
      <ns0:c r="F41" s="2"/>
      <ns0:c r="G41" s="2"/>
      <ns0:c r="H41" s="2"/>
    </ns0:row>
    <ns0:row r="42" ht="23" customHeight="1">
      <ns0:c r="B42" s="2"/>
      <ns0:c r="C42" s="2"/>
      <ns0:c r="D42" s="2"/>
      <ns0:c r="E42" s="2"/>
      <ns0:c r="F42" s="2"/>
      <ns0:c r="G42" s="2"/>
      <ns0:c r="H42" s="2"/>
    </ns0:row>
    <ns0:row r="43" ht="23" customHeight="1">
      <ns0:c r="B43" s="2"/>
      <ns0:c r="C43" s="2"/>
      <ns0:c r="D43" s="2"/>
      <ns0:c r="E43" s="2"/>
      <ns0:c r="F43" s="2"/>
      <ns0:c r="G43" s="2"/>
      <ns0:c r="H43" s="2"/>
    </ns0:row>
    <ns0:row r="44" ht="23" customHeight="1">
      <ns0:c r="B44" s="2"/>
      <ns0:c r="C44" s="2"/>
      <ns0:c r="D44" s="2"/>
      <ns0:c r="E44" s="2"/>
      <ns0:c r="F44" s="2"/>
      <ns0:c r="G44" s="2"/>
      <ns0:c r="H44" s="2"/>
    </ns0:row>
    <ns0:row r="45" ht="23" customHeight="1">
      <ns0:c r="B45" s="17" t="str">
        <ns0:v>Mastercard reported fiscal years</ns0:v>
      </ns0:c>
      <ns0:c r="C45" s="17"/>
      <ns0:c r="D45" s="17"/>
      <ns0:c r="E45" s="17"/>
      <ns0:c r="F45" s="17"/>
      <ns0:c r="G45" s="17"/>
      <ns0:c r="H45" s="2"/>
    </ns0:row>
    <ns0:row r="46" ht="27" customHeight="1">
      <ns0:c r="B46" s="6" t="str">
        <ns0:v>Fiscal year</ns0:v>
      </ns0:c>
      <ns0:c r="C46" s="6" t="n">
        <ns0:v>2021</ns0:v>
      </ns0:c>
      <ns0:c r="D46" s="6" t="n">
        <ns0:v>2022</ns0:v>
      </ns0:c>
      <ns0:c r="E46" s="6" t="n">
        <ns0:v>2023</ns0:v>
      </ns0:c>
      <ns0:c r="F46" s="6" t="n">
        <ns0:v>2024</ns0:v>
      </ns0:c>
      <ns0:c r="G46" s="6" t="n">
        <ns0:v>2025</ns0:v>
      </ns0:c>
      <ns0:c r="H46" s="2"/>
    </ns0:row>
    <ns0:row r="47" ht="23" customHeight="1">
      <ns0:c r="B47" s="2" t="str">
        <ns0:v>Period start</ns0:v>
      </ns0:c>
      <ns0:c r="C47" s="7" t="d">
        <ns0:v>2021-01-01T00:00:00.000Z</ns0:v>
      </ns0:c>
      <ns0:c r="D47" s="7" t="d">
        <ns0:v>2022-01-01T00:00:00.000Z</ns0:v>
      </ns0:c>
      <ns0:c r="E47" s="7" t="d">
        <ns0:v>2023-01-01T00:00:00.000Z</ns0:v>
      </ns0:c>
      <ns0:c r="F47" s="7" t="d">
        <ns0:v>2024-01-01T00:00:00.000Z</ns0:v>
      </ns0:c>
      <ns0:c r="G47" s="7" t="d">
        <ns0:v>2025-01-01T00:00:00.000Z</ns0:v>
      </ns0:c>
      <ns0:c r="H47" s="2"/>
    </ns0:row>
    <ns0:row r="48" ht="23" customHeight="1">
      <ns0:c r="B48" s="2" t="str">
        <ns0:v>Period end</ns0:v>
      </ns0:c>
      <ns0:c r="C48" s="7" t="d">
        <ns0:v>2021-12-31T00:00:00.000Z</ns0:v>
      </ns0:c>
      <ns0:c r="D48" s="7" t="d">
        <ns0:v>2022-12-31T00:00:00.000Z</ns0:v>
      </ns0:c>
      <ns0:c r="E48" s="7" t="d">
        <ns0:v>2023-12-31T00:00:00.000Z</ns0:v>
      </ns0:c>
      <ns0:c r="F48" s="7" t="d">
        <ns0:v>2024-12-31T00:00:00.000Z</ns0:v>
      </ns0:c>
      <ns0:c r="G48" s="7" t="d">
        <ns0:v>2025-12-31T00:00:00.000Z</ns0:v>
      </ns0:c>
      <ns0:c r="H48" s="2"/>
    </ns0:row>
    <ns0:row r="49" ht="23" customHeight="1">
      <ns0:c r="B49" s="2"/>
      <ns0:c r="C49" s="2"/>
      <ns0:c r="D49" s="2"/>
      <ns0:c r="E49" s="2"/>
      <ns0:c r="F49" s="2"/>
      <ns0:c r="G49" s="2"/>
      <ns0:c r="H49" s="2"/>
    </ns0:row>
    <ns0:row r="50" ht="23" customHeight="1">
      <ns0:c r="B50" s="2" t="str">
        <ns0:v>Reported net revenue</ns0:v>
      </ns0:c>
      <ns0:c r="C50" s="19" t="n">
        <ns0:f>IF(COUNTIFS('Actuals'!$K$6:$K$163,"mastercard|"&amp;C$46&amp;"|net_revenue")=1,IF(AND(COUNTIFS('Actuals'!$K$6:$K$163,"mastercard|"&amp;C$46&amp;"|net_revenue",'Actuals'!$F$6:$F$163,"&lt;&gt;")=1,ISNUMBER(_xlfn.XLOOKUP("mastercard|"&amp;C$46&amp;"|net_revenue",'Actuals'!$K$6:$K$163,'Actuals'!$F$6:$F$163,"n.a.",0)),_xlfn.XLOOKUP("mastercard|"&amp;C$46&amp;"|net_revenue",'Actuals'!$K$6:$K$163,'Actuals'!$G$6:$G$163,"n.a.",0)="USD"),_xlfn.XLOOKUP("mastercard|"&amp;C$46&amp;"|net_revenue",'Actuals'!$K$6:$K$163,'Actuals'!$F$6:$F$163,"n.a.",0)/1000000,"n.a."),"n.a.")</ns0:f>
        <ns0:v>18884</ns0:v>
      </ns0:c>
      <ns0:c r="D50" s="19" t="n">
        <ns0:f>IF(COUNTIFS('Actuals'!$K$6:$K$163,"mastercard|"&amp;D$46&amp;"|net_revenue")=1,IF(AND(COUNTIFS('Actuals'!$K$6:$K$163,"mastercard|"&amp;D$46&amp;"|net_revenue",'Actuals'!$F$6:$F$163,"&lt;&gt;")=1,ISNUMBER(_xlfn.XLOOKUP("mastercard|"&amp;D$46&amp;"|net_revenue",'Actuals'!$K$6:$K$163,'Actuals'!$F$6:$F$163,"n.a.",0)),_xlfn.XLOOKUP("mastercard|"&amp;D$46&amp;"|net_revenue",'Actuals'!$K$6:$K$163,'Actuals'!$G$6:$G$163,"n.a.",0)="USD"),_xlfn.XLOOKUP("mastercard|"&amp;D$46&amp;"|net_revenue",'Actuals'!$K$6:$K$163,'Actuals'!$F$6:$F$163,"n.a.",0)/1000000,"n.a."),"n.a.")</ns0:f>
        <ns0:v>22237</ns0:v>
      </ns0:c>
      <ns0:c r="E50" s="19" t="n">
        <ns0:f>IF(COUNTIFS('Actuals'!$K$6:$K$163,"mastercard|"&amp;E$46&amp;"|net_revenue")=1,IF(AND(COUNTIFS('Actuals'!$K$6:$K$163,"mastercard|"&amp;E$46&amp;"|net_revenue",'Actuals'!$F$6:$F$163,"&lt;&gt;")=1,ISNUMBER(_xlfn.XLOOKUP("mastercard|"&amp;E$46&amp;"|net_revenue",'Actuals'!$K$6:$K$163,'Actuals'!$F$6:$F$163,"n.a.",0)),_xlfn.XLOOKUP("mastercard|"&amp;E$46&amp;"|net_revenue",'Actuals'!$K$6:$K$163,'Actuals'!$G$6:$G$163,"n.a.",0)="USD"),_xlfn.XLOOKUP("mastercard|"&amp;E$46&amp;"|net_revenue",'Actuals'!$K$6:$K$163,'Actuals'!$F$6:$F$163,"n.a.",0)/1000000,"n.a."),"n.a.")</ns0:f>
        <ns0:v>25098</ns0:v>
      </ns0:c>
      <ns0:c r="F50" s="19" t="n">
        <ns0:f>IF(COUNTIFS('Actuals'!$K$6:$K$163,"mastercard|"&amp;F$46&amp;"|net_revenue")=1,IF(AND(COUNTIFS('Actuals'!$K$6:$K$163,"mastercard|"&amp;F$46&amp;"|net_revenue",'Actuals'!$F$6:$F$163,"&lt;&gt;")=1,ISNUMBER(_xlfn.XLOOKUP("mastercard|"&amp;F$46&amp;"|net_revenue",'Actuals'!$K$6:$K$163,'Actuals'!$F$6:$F$163,"n.a.",0)),_xlfn.XLOOKUP("mastercard|"&amp;F$46&amp;"|net_revenue",'Actuals'!$K$6:$K$163,'Actuals'!$G$6:$G$163,"n.a.",0)="USD"),_xlfn.XLOOKUP("mastercard|"&amp;F$46&amp;"|net_revenue",'Actuals'!$K$6:$K$163,'Actuals'!$F$6:$F$163,"n.a.",0)/1000000,"n.a."),"n.a.")</ns0:f>
        <ns0:v>28167</ns0:v>
      </ns0:c>
      <ns0:c r="G50" s="19" t="n">
        <ns0:f>IF(COUNTIFS('Actuals'!$K$6:$K$163,"mastercard|"&amp;G$46&amp;"|net_revenue")=1,IF(AND(COUNTIFS('Actuals'!$K$6:$K$163,"mastercard|"&amp;G$46&amp;"|net_revenue",'Actuals'!$F$6:$F$163,"&lt;&gt;")=1,ISNUMBER(_xlfn.XLOOKUP("mastercard|"&amp;G$46&amp;"|net_revenue",'Actuals'!$K$6:$K$163,'Actuals'!$F$6:$F$163,"n.a.",0)),_xlfn.XLOOKUP("mastercard|"&amp;G$46&amp;"|net_revenue",'Actuals'!$K$6:$K$163,'Actuals'!$G$6:$G$163,"n.a.",0)="USD"),_xlfn.XLOOKUP("mastercard|"&amp;G$46&amp;"|net_revenue",'Actuals'!$K$6:$K$163,'Actuals'!$F$6:$F$163,"n.a.",0)/1000000,"n.a."),"n.a.")</ns0:f>
        <ns0:v>32791</ns0:v>
      </ns0:c>
      <ns0:c r="H50" s="2"/>
    </ns0:row>
    <ns0:row r="51" ht="23" customHeight="1">
      <ns0:c r="B51" s="2" t="str">
        <ns0:v>Reported operating expenses</ns0:v>
      </ns0:c>
      <ns0:c r="C51" s="19" t="n">
        <ns0:f>IF(COUNTIFS('Actuals'!$K$6:$K$163,"mastercard|"&amp;C$46&amp;"|operating_expenses")=1,IF(AND(COUNTIFS('Actuals'!$K$6:$K$163,"mastercard|"&amp;C$46&amp;"|operating_expenses",'Actuals'!$F$6:$F$163,"&lt;&gt;")=1,ISNUMBER(_xlfn.XLOOKUP("mastercard|"&amp;C$46&amp;"|operating_expenses",'Actuals'!$K$6:$K$163,'Actuals'!$F$6:$F$163,"n.a.",0)),_xlfn.XLOOKUP("mastercard|"&amp;C$46&amp;"|operating_expenses",'Actuals'!$K$6:$K$163,'Actuals'!$G$6:$G$163,"n.a.",0)="USD"),_xlfn.XLOOKUP("mastercard|"&amp;C$46&amp;"|operating_expenses",'Actuals'!$K$6:$K$163,'Actuals'!$F$6:$F$163,"n.a.",0)/1000000,"n.a."),"n.a.")</ns0:f>
        <ns0:v>8802</ns0:v>
      </ns0:c>
      <ns0:c r="D51" s="19" t="n">
        <ns0:f>IF(COUNTIFS('Actuals'!$K$6:$K$163,"mastercard|"&amp;D$46&amp;"|operating_expenses")=1,IF(AND(COUNTIFS('Actuals'!$K$6:$K$163,"mastercard|"&amp;D$46&amp;"|operating_expenses",'Actuals'!$F$6:$F$163,"&lt;&gt;")=1,ISNUMBER(_xlfn.XLOOKUP("mastercard|"&amp;D$46&amp;"|operating_expenses",'Actuals'!$K$6:$K$163,'Actuals'!$F$6:$F$163,"n.a.",0)),_xlfn.XLOOKUP("mastercard|"&amp;D$46&amp;"|operating_expenses",'Actuals'!$K$6:$K$163,'Actuals'!$G$6:$G$163,"n.a.",0)="USD"),_xlfn.XLOOKUP("mastercard|"&amp;D$46&amp;"|operating_expenses",'Actuals'!$K$6:$K$163,'Actuals'!$F$6:$F$163,"n.a.",0)/1000000,"n.a."),"n.a.")</ns0:f>
        <ns0:v>9973</ns0:v>
      </ns0:c>
      <ns0:c r="E51" s="19" t="n">
        <ns0:f>IF(COUNTIFS('Actuals'!$K$6:$K$163,"mastercard|"&amp;E$46&amp;"|operating_expenses")=1,IF(AND(COUNTIFS('Actuals'!$K$6:$K$163,"mastercard|"&amp;E$46&amp;"|operating_expenses",'Actuals'!$F$6:$F$163,"&lt;&gt;")=1,ISNUMBER(_xlfn.XLOOKUP("mastercard|"&amp;E$46&amp;"|operating_expenses",'Actuals'!$K$6:$K$163,'Actuals'!$F$6:$F$163,"n.a.",0)),_xlfn.XLOOKUP("mastercard|"&amp;E$46&amp;"|operating_expenses",'Actuals'!$K$6:$K$163,'Actuals'!$G$6:$G$163,"n.a.",0)="USD"),_xlfn.XLOOKUP("mastercard|"&amp;E$46&amp;"|operating_expenses",'Actuals'!$K$6:$K$163,'Actuals'!$F$6:$F$163,"n.a.",0)/1000000,"n.a."),"n.a.")</ns0:f>
        <ns0:v>11090</ns0:v>
      </ns0:c>
      <ns0:c r="F51" s="19" t="n">
        <ns0:f>IF(COUNTIFS('Actuals'!$K$6:$K$163,"mastercard|"&amp;F$46&amp;"|operating_expenses")=1,IF(AND(COUNTIFS('Actuals'!$K$6:$K$163,"mastercard|"&amp;F$46&amp;"|operating_expenses",'Actuals'!$F$6:$F$163,"&lt;&gt;")=1,ISNUMBER(_xlfn.XLOOKUP("mastercard|"&amp;F$46&amp;"|operating_expenses",'Actuals'!$K$6:$K$163,'Actuals'!$F$6:$F$163,"n.a.",0)),_xlfn.XLOOKUP("mastercard|"&amp;F$46&amp;"|operating_expenses",'Actuals'!$K$6:$K$163,'Actuals'!$G$6:$G$163,"n.a.",0)="USD"),_xlfn.XLOOKUP("mastercard|"&amp;F$46&amp;"|operating_expenses",'Actuals'!$K$6:$K$163,'Actuals'!$F$6:$F$163,"n.a.",0)/1000000,"n.a."),"n.a.")</ns0:f>
        <ns0:v>12585</ns0:v>
      </ns0:c>
      <ns0:c r="G51" s="19" t="n">
        <ns0:f>IF(COUNTIFS('Actuals'!$K$6:$K$163,"mastercard|"&amp;G$46&amp;"|operating_expenses")=1,IF(AND(COUNTIFS('Actuals'!$K$6:$K$163,"mastercard|"&amp;G$46&amp;"|operating_expenses",'Actuals'!$F$6:$F$163,"&lt;&gt;")=1,ISNUMBER(_xlfn.XLOOKUP("mastercard|"&amp;G$46&amp;"|operating_expenses",'Actuals'!$K$6:$K$163,'Actuals'!$F$6:$F$163,"n.a.",0)),_xlfn.XLOOKUP("mastercard|"&amp;G$46&amp;"|operating_expenses",'Actuals'!$K$6:$K$163,'Actuals'!$G$6:$G$163,"n.a.",0)="USD"),_xlfn.XLOOKUP("mastercard|"&amp;G$46&amp;"|operating_expenses",'Actuals'!$K$6:$K$163,'Actuals'!$F$6:$F$163,"n.a.",0)/1000000,"n.a."),"n.a.")</ns0:f>
        <ns0:v>13894</ns0:v>
      </ns0:c>
      <ns0:c r="H51" s="2"/>
    </ns0:row>
    <ns0:row r="52" ht="23" customHeight="1">
      <ns0:c r="B52" s="2" t="str">
        <ns0:v>Reported operating income</ns0:v>
      </ns0:c>
      <ns0:c r="C52" s="19" t="n">
        <ns0:f>IF(COUNTIFS('Actuals'!$K$6:$K$163,"mastercard|"&amp;C$46&amp;"|operating_income")=1,IF(AND(COUNTIFS('Actuals'!$K$6:$K$163,"mastercard|"&amp;C$46&amp;"|operating_income",'Actuals'!$F$6:$F$163,"&lt;&gt;")=1,ISNUMBER(_xlfn.XLOOKUP("mastercard|"&amp;C$46&amp;"|operating_income",'Actuals'!$K$6:$K$163,'Actuals'!$F$6:$F$163,"n.a.",0)),_xlfn.XLOOKUP("mastercard|"&amp;C$46&amp;"|operating_income",'Actuals'!$K$6:$K$163,'Actuals'!$G$6:$G$163,"n.a.",0)="USD"),_xlfn.XLOOKUP("mastercard|"&amp;C$46&amp;"|operating_income",'Actuals'!$K$6:$K$163,'Actuals'!$F$6:$F$163,"n.a.",0)/1000000,"n.a."),"n.a.")</ns0:f>
        <ns0:v>10082</ns0:v>
      </ns0:c>
      <ns0:c r="D52" s="19" t="n">
        <ns0:f>IF(COUNTIFS('Actuals'!$K$6:$K$163,"mastercard|"&amp;D$46&amp;"|operating_income")=1,IF(AND(COUNTIFS('Actuals'!$K$6:$K$163,"mastercard|"&amp;D$46&amp;"|operating_income",'Actuals'!$F$6:$F$163,"&lt;&gt;")=1,ISNUMBER(_xlfn.XLOOKUP("mastercard|"&amp;D$46&amp;"|operating_income",'Actuals'!$K$6:$K$163,'Actuals'!$F$6:$F$163,"n.a.",0)),_xlfn.XLOOKUP("mastercard|"&amp;D$46&amp;"|operating_income",'Actuals'!$K$6:$K$163,'Actuals'!$G$6:$G$163,"n.a.",0)="USD"),_xlfn.XLOOKUP("mastercard|"&amp;D$46&amp;"|operating_income",'Actuals'!$K$6:$K$163,'Actuals'!$F$6:$F$163,"n.a.",0)/1000000,"n.a."),"n.a.")</ns0:f>
        <ns0:v>12264</ns0:v>
      </ns0:c>
      <ns0:c r="E52" s="19" t="n">
        <ns0:f>IF(COUNTIFS('Actuals'!$K$6:$K$163,"mastercard|"&amp;E$46&amp;"|operating_income")=1,IF(AND(COUNTIFS('Actuals'!$K$6:$K$163,"mastercard|"&amp;E$46&amp;"|operating_income",'Actuals'!$F$6:$F$163,"&lt;&gt;")=1,ISNUMBER(_xlfn.XLOOKUP("mastercard|"&amp;E$46&amp;"|operating_income",'Actuals'!$K$6:$K$163,'Actuals'!$F$6:$F$163,"n.a.",0)),_xlfn.XLOOKUP("mastercard|"&amp;E$46&amp;"|operating_income",'Actuals'!$K$6:$K$163,'Actuals'!$G$6:$G$163,"n.a.",0)="USD"),_xlfn.XLOOKUP("mastercard|"&amp;E$46&amp;"|operating_income",'Actuals'!$K$6:$K$163,'Actuals'!$F$6:$F$163,"n.a.",0)/1000000,"n.a."),"n.a.")</ns0:f>
        <ns0:v>14008</ns0:v>
      </ns0:c>
      <ns0:c r="F52" s="19" t="n">
        <ns0:f>IF(COUNTIFS('Actuals'!$K$6:$K$163,"mastercard|"&amp;F$46&amp;"|operating_income")=1,IF(AND(COUNTIFS('Actuals'!$K$6:$K$163,"mastercard|"&amp;F$46&amp;"|operating_income",'Actuals'!$F$6:$F$163,"&lt;&gt;")=1,ISNUMBER(_xlfn.XLOOKUP("mastercard|"&amp;F$46&amp;"|operating_income",'Actuals'!$K$6:$K$163,'Actuals'!$F$6:$F$163,"n.a.",0)),_xlfn.XLOOKUP("mastercard|"&amp;F$46&amp;"|operating_income",'Actuals'!$K$6:$K$163,'Actuals'!$G$6:$G$163,"n.a.",0)="USD"),_xlfn.XLOOKUP("mastercard|"&amp;F$46&amp;"|operating_income",'Actuals'!$K$6:$K$163,'Actuals'!$F$6:$F$163,"n.a.",0)/1000000,"n.a."),"n.a.")</ns0:f>
        <ns0:v>15582</ns0:v>
      </ns0:c>
      <ns0:c r="G52" s="19" t="n">
        <ns0:f>IF(COUNTIFS('Actuals'!$K$6:$K$163,"mastercard|"&amp;G$46&amp;"|operating_income")=1,IF(AND(COUNTIFS('Actuals'!$K$6:$K$163,"mastercard|"&amp;G$46&amp;"|operating_income",'Actuals'!$F$6:$F$163,"&lt;&gt;")=1,ISNUMBER(_xlfn.XLOOKUP("mastercard|"&amp;G$46&amp;"|operating_income",'Actuals'!$K$6:$K$163,'Actuals'!$F$6:$F$163,"n.a.",0)),_xlfn.XLOOKUP("mastercard|"&amp;G$46&amp;"|operating_income",'Actuals'!$K$6:$K$163,'Actuals'!$G$6:$G$163,"n.a.",0)="USD"),_xlfn.XLOOKUP("mastercard|"&amp;G$46&amp;"|operating_income",'Actuals'!$K$6:$K$163,'Actuals'!$F$6:$F$163,"n.a.",0)/1000000,"n.a."),"n.a.")</ns0:f>
        <ns0:v>18897</ns0:v>
      </ns0:c>
      <ns0:c r="H52" s="2"/>
    </ns0:row>
    <ns0:row r="53" ht="23" customHeight="1">
      <ns0:c r="B53" s="2" t="str">
        <ns0:v>Reported consolidated net income</ns0:v>
      </ns0:c>
      <ns0:c r="C53" s="19" t="n">
        <ns0:f>IF(COUNTIFS('Actuals'!$K$6:$K$163,"mastercard|"&amp;C$46&amp;"|net_income")=1,IF(AND(COUNTIFS('Actuals'!$K$6:$K$163,"mastercard|"&amp;C$46&amp;"|net_income",'Actuals'!$F$6:$F$163,"&lt;&gt;")=1,ISNUMBER(_xlfn.XLOOKUP("mastercard|"&amp;C$46&amp;"|net_income",'Actuals'!$K$6:$K$163,'Actuals'!$F$6:$F$163,"n.a.",0)),_xlfn.XLOOKUP("mastercard|"&amp;C$46&amp;"|net_income",'Actuals'!$K$6:$K$163,'Actuals'!$G$6:$G$163,"n.a.",0)="USD"),_xlfn.XLOOKUP("mastercard|"&amp;C$46&amp;"|net_income",'Actuals'!$K$6:$K$163,'Actuals'!$F$6:$F$163,"n.a.",0)/1000000,"n.a."),"n.a.")</ns0:f>
        <ns0:v>8687</ns0:v>
      </ns0:c>
      <ns0:c r="D53" s="19" t="n">
        <ns0:f>IF(COUNTIFS('Actuals'!$K$6:$K$163,"mastercard|"&amp;D$46&amp;"|net_income")=1,IF(AND(COUNTIFS('Actuals'!$K$6:$K$163,"mastercard|"&amp;D$46&amp;"|net_income",'Actuals'!$F$6:$F$163,"&lt;&gt;")=1,ISNUMBER(_xlfn.XLOOKUP("mastercard|"&amp;D$46&amp;"|net_income",'Actuals'!$K$6:$K$163,'Actuals'!$F$6:$F$163,"n.a.",0)),_xlfn.XLOOKUP("mastercard|"&amp;D$46&amp;"|net_income",'Actuals'!$K$6:$K$163,'Actuals'!$G$6:$G$163,"n.a.",0)="USD"),_xlfn.XLOOKUP("mastercard|"&amp;D$46&amp;"|net_income",'Actuals'!$K$6:$K$163,'Actuals'!$F$6:$F$163,"n.a.",0)/1000000,"n.a."),"n.a.")</ns0:f>
        <ns0:v>9930</ns0:v>
      </ns0:c>
      <ns0:c r="E53" s="19" t="n">
        <ns0:f>IF(COUNTIFS('Actuals'!$K$6:$K$163,"mastercard|"&amp;E$46&amp;"|net_income")=1,IF(AND(COUNTIFS('Actuals'!$K$6:$K$163,"mastercard|"&amp;E$46&amp;"|net_income",'Actuals'!$F$6:$F$163,"&lt;&gt;")=1,ISNUMBER(_xlfn.XLOOKUP("mastercard|"&amp;E$46&amp;"|net_income",'Actuals'!$K$6:$K$163,'Actuals'!$F$6:$F$163,"n.a.",0)),_xlfn.XLOOKUP("mastercard|"&amp;E$46&amp;"|net_income",'Actuals'!$K$6:$K$163,'Actuals'!$G$6:$G$163,"n.a.",0)="USD"),_xlfn.XLOOKUP("mastercard|"&amp;E$46&amp;"|net_income",'Actuals'!$K$6:$K$163,'Actuals'!$F$6:$F$163,"n.a.",0)/1000000,"n.a."),"n.a.")</ns0:f>
        <ns0:v>11195</ns0:v>
      </ns0:c>
      <ns0:c r="F53" s="19" t="n">
        <ns0:f>IF(COUNTIFS('Actuals'!$K$6:$K$163,"mastercard|"&amp;F$46&amp;"|net_income")=1,IF(AND(COUNTIFS('Actuals'!$K$6:$K$163,"mastercard|"&amp;F$46&amp;"|net_income",'Actuals'!$F$6:$F$163,"&lt;&gt;")=1,ISNUMBER(_xlfn.XLOOKUP("mastercard|"&amp;F$46&amp;"|net_income",'Actuals'!$K$6:$K$163,'Actuals'!$F$6:$F$163,"n.a.",0)),_xlfn.XLOOKUP("mastercard|"&amp;F$46&amp;"|net_income",'Actuals'!$K$6:$K$163,'Actuals'!$G$6:$G$163,"n.a.",0)="USD"),_xlfn.XLOOKUP("mastercard|"&amp;F$46&amp;"|net_income",'Actuals'!$K$6:$K$163,'Actuals'!$F$6:$F$163,"n.a.",0)/1000000,"n.a."),"n.a.")</ns0:f>
        <ns0:v>12874</ns0:v>
      </ns0:c>
      <ns0:c r="G53" s="19" t="n">
        <ns0:f>IF(COUNTIFS('Actuals'!$K$6:$K$163,"mastercard|"&amp;G$46&amp;"|net_income")=1,IF(AND(COUNTIFS('Actuals'!$K$6:$K$163,"mastercard|"&amp;G$46&amp;"|net_income",'Actuals'!$F$6:$F$163,"&lt;&gt;")=1,ISNUMBER(_xlfn.XLOOKUP("mastercard|"&amp;G$46&amp;"|net_income",'Actuals'!$K$6:$K$163,'Actuals'!$F$6:$F$163,"n.a.",0)),_xlfn.XLOOKUP("mastercard|"&amp;G$46&amp;"|net_income",'Actuals'!$K$6:$K$163,'Actuals'!$G$6:$G$163,"n.a.",0)="USD"),_xlfn.XLOOKUP("mastercard|"&amp;G$46&amp;"|net_income",'Actuals'!$K$6:$K$163,'Actuals'!$F$6:$F$163,"n.a.",0)/1000000,"n.a."),"n.a.")</ns0:f>
        <ns0:v>14968</ns0:v>
      </ns0:c>
      <ns0:c r="H53" s="2"/>
    </ns0:row>
    <ns0:row r="54" ht="23" customHeight="1">
      <ns0:c r="B54" s="2" t="str">
        <ns0:v>Reported operating cash flow</ns0:v>
      </ns0:c>
      <ns0:c r="C54" s="19" t="n">
        <ns0:f>IF(COUNTIFS('Actuals'!$K$6:$K$163,"mastercard|"&amp;C$46&amp;"|operating_cash_flow")=1,IF(AND(COUNTIFS('Actuals'!$K$6:$K$163,"mastercard|"&amp;C$46&amp;"|operating_cash_flow",'Actuals'!$F$6:$F$163,"&lt;&gt;")=1,ISNUMBER(_xlfn.XLOOKUP("mastercard|"&amp;C$46&amp;"|operating_cash_flow",'Actuals'!$K$6:$K$163,'Actuals'!$F$6:$F$163,"n.a.",0)),_xlfn.XLOOKUP("mastercard|"&amp;C$46&amp;"|operating_cash_flow",'Actuals'!$K$6:$K$163,'Actuals'!$G$6:$G$163,"n.a.",0)="USD"),_xlfn.XLOOKUP("mastercard|"&amp;C$46&amp;"|operating_cash_flow",'Actuals'!$K$6:$K$163,'Actuals'!$F$6:$F$163,"n.a.",0)/1000000,"n.a."),"n.a.")</ns0:f>
        <ns0:v>9463</ns0:v>
      </ns0:c>
      <ns0:c r="D54" s="19" t="n">
        <ns0:f>IF(COUNTIFS('Actuals'!$K$6:$K$163,"mastercard|"&amp;D$46&amp;"|operating_cash_flow")=1,IF(AND(COUNTIFS('Actuals'!$K$6:$K$163,"mastercard|"&amp;D$46&amp;"|operating_cash_flow",'Actuals'!$F$6:$F$163,"&lt;&gt;")=1,ISNUMBER(_xlfn.XLOOKUP("mastercard|"&amp;D$46&amp;"|operating_cash_flow",'Actuals'!$K$6:$K$163,'Actuals'!$F$6:$F$163,"n.a.",0)),_xlfn.XLOOKUP("mastercard|"&amp;D$46&amp;"|operating_cash_flow",'Actuals'!$K$6:$K$163,'Actuals'!$G$6:$G$163,"n.a.",0)="USD"),_xlfn.XLOOKUP("mastercard|"&amp;D$46&amp;"|operating_cash_flow",'Actuals'!$K$6:$K$163,'Actuals'!$F$6:$F$163,"n.a.",0)/1000000,"n.a."),"n.a.")</ns0:f>
        <ns0:v>11195</ns0:v>
      </ns0:c>
      <ns0:c r="E54" s="19" t="n">
        <ns0:f>IF(COUNTIFS('Actuals'!$K$6:$K$163,"mastercard|"&amp;E$46&amp;"|operating_cash_flow")=1,IF(AND(COUNTIFS('Actuals'!$K$6:$K$163,"mastercard|"&amp;E$46&amp;"|operating_cash_flow",'Actuals'!$F$6:$F$163,"&lt;&gt;")=1,ISNUMBER(_xlfn.XLOOKUP("mastercard|"&amp;E$46&amp;"|operating_cash_flow",'Actuals'!$K$6:$K$163,'Actuals'!$F$6:$F$163,"n.a.",0)),_xlfn.XLOOKUP("mastercard|"&amp;E$46&amp;"|operating_cash_flow",'Actuals'!$K$6:$K$163,'Actuals'!$G$6:$G$163,"n.a.",0)="USD"),_xlfn.XLOOKUP("mastercard|"&amp;E$46&amp;"|operating_cash_flow",'Actuals'!$K$6:$K$163,'Actuals'!$F$6:$F$163,"n.a.",0)/1000000,"n.a."),"n.a.")</ns0:f>
        <ns0:v>11980</ns0:v>
      </ns0:c>
      <ns0:c r="F54" s="19" t="n">
        <ns0:f>IF(COUNTIFS('Actuals'!$K$6:$K$163,"mastercard|"&amp;F$46&amp;"|operating_cash_flow")=1,IF(AND(COUNTIFS('Actuals'!$K$6:$K$163,"mastercard|"&amp;F$46&amp;"|operating_cash_flow",'Actuals'!$F$6:$F$163,"&lt;&gt;")=1,ISNUMBER(_xlfn.XLOOKUP("mastercard|"&amp;F$46&amp;"|operating_cash_flow",'Actuals'!$K$6:$K$163,'Actuals'!$F$6:$F$163,"n.a.",0)),_xlfn.XLOOKUP("mastercard|"&amp;F$46&amp;"|operating_cash_flow",'Actuals'!$K$6:$K$163,'Actuals'!$G$6:$G$163,"n.a.",0)="USD"),_xlfn.XLOOKUP("mastercard|"&amp;F$46&amp;"|operating_cash_flow",'Actuals'!$K$6:$K$163,'Actuals'!$F$6:$F$163,"n.a.",0)/1000000,"n.a."),"n.a.")</ns0:f>
        <ns0:v>14780</ns0:v>
      </ns0:c>
      <ns0:c r="G54" s="19" t="n">
        <ns0:f>IF(COUNTIFS('Actuals'!$K$6:$K$163,"mastercard|"&amp;G$46&amp;"|operating_cash_flow")=1,IF(AND(COUNTIFS('Actuals'!$K$6:$K$163,"mastercard|"&amp;G$46&amp;"|operating_cash_flow",'Actuals'!$F$6:$F$163,"&lt;&gt;")=1,ISNUMBER(_xlfn.XLOOKUP("mastercard|"&amp;G$46&amp;"|operating_cash_flow",'Actuals'!$K$6:$K$163,'Actuals'!$F$6:$F$163,"n.a.",0)),_xlfn.XLOOKUP("mastercard|"&amp;G$46&amp;"|operating_cash_flow",'Actuals'!$K$6:$K$163,'Actuals'!$G$6:$G$163,"n.a.",0)="USD"),_xlfn.XLOOKUP("mastercard|"&amp;G$46&amp;"|operating_cash_flow",'Actuals'!$K$6:$K$163,'Actuals'!$F$6:$F$163,"n.a.",0)/1000000,"n.a."),"n.a.")</ns0:f>
        <ns0:v>17648</ns0:v>
      </ns0:c>
      <ns0:c r="H54" s="2"/>
    </ns0:row>
    <ns0:row r="55" ht="23" customHeight="1">
      <ns0:c r="B55" s="2" t="str">
        <ns0:v>Cash and cash equivalents</ns0:v>
      </ns0:c>
      <ns0:c r="C55" s="19" t="n">
        <ns0:f>IF(COUNTIFS('Actuals'!$K$6:$K$163,"mastercard|"&amp;C$46&amp;"|cash_and_cash_equivalents")=1,IF(AND(COUNTIFS('Actuals'!$K$6:$K$163,"mastercard|"&amp;C$46&amp;"|cash_and_cash_equivalents",'Actuals'!$F$6:$F$163,"&lt;&gt;")=1,ISNUMBER(_xlfn.XLOOKUP("mastercard|"&amp;C$46&amp;"|cash_and_cash_equivalents",'Actuals'!$K$6:$K$163,'Actuals'!$F$6:$F$163,"n.a.",0)),_xlfn.XLOOKUP("mastercard|"&amp;C$46&amp;"|cash_and_cash_equivalents",'Actuals'!$K$6:$K$163,'Actuals'!$G$6:$G$163,"n.a.",0)="USD"),_xlfn.XLOOKUP("mastercard|"&amp;C$46&amp;"|cash_and_cash_equivalents",'Actuals'!$K$6:$K$163,'Actuals'!$F$6:$F$163,"n.a.",0)/1000000,"n.a."),"n.a.")</ns0:f>
        <ns0:v>7421</ns0:v>
      </ns0:c>
      <ns0:c r="D55" s="19" t="n">
        <ns0:f>IF(COUNTIFS('Actuals'!$K$6:$K$163,"mastercard|"&amp;D$46&amp;"|cash_and_cash_equivalents")=1,IF(AND(COUNTIFS('Actuals'!$K$6:$K$163,"mastercard|"&amp;D$46&amp;"|cash_and_cash_equivalents",'Actuals'!$F$6:$F$163,"&lt;&gt;")=1,ISNUMBER(_xlfn.XLOOKUP("mastercard|"&amp;D$46&amp;"|cash_and_cash_equivalents",'Actuals'!$K$6:$K$163,'Actuals'!$F$6:$F$163,"n.a.",0)),_xlfn.XLOOKUP("mastercard|"&amp;D$46&amp;"|cash_and_cash_equivalents",'Actuals'!$K$6:$K$163,'Actuals'!$G$6:$G$163,"n.a.",0)="USD"),_xlfn.XLOOKUP("mastercard|"&amp;D$46&amp;"|cash_and_cash_equivalents",'Actuals'!$K$6:$K$163,'Actuals'!$F$6:$F$163,"n.a.",0)/1000000,"n.a."),"n.a.")</ns0:f>
        <ns0:v>7008</ns0:v>
      </ns0:c>
      <ns0:c r="E55" s="19" t="n">
        <ns0:f>IF(COUNTIFS('Actuals'!$K$6:$K$163,"mastercard|"&amp;E$46&amp;"|cash_and_cash_equivalents")=1,IF(AND(COUNTIFS('Actuals'!$K$6:$K$163,"mastercard|"&amp;E$46&amp;"|cash_and_cash_equivalents",'Actuals'!$F$6:$F$163,"&lt;&gt;")=1,ISNUMBER(_xlfn.XLOOKUP("mastercard|"&amp;E$46&amp;"|cash_and_cash_equivalents",'Actuals'!$K$6:$K$163,'Actuals'!$F$6:$F$163,"n.a.",0)),_xlfn.XLOOKUP("mastercard|"&amp;E$46&amp;"|cash_and_cash_equivalents",'Actuals'!$K$6:$K$163,'Actuals'!$G$6:$G$163,"n.a.",0)="USD"),_xlfn.XLOOKUP("mastercard|"&amp;E$46&amp;"|cash_and_cash_equivalents",'Actuals'!$K$6:$K$163,'Actuals'!$F$6:$F$163,"n.a.",0)/1000000,"n.a."),"n.a.")</ns0:f>
        <ns0:v>8588</ns0:v>
      </ns0:c>
      <ns0:c r="F55" s="19" t="n">
        <ns0:f>IF(COUNTIFS('Actuals'!$K$6:$K$163,"mastercard|"&amp;F$46&amp;"|cash_and_cash_equivalents")=1,IF(AND(COUNTIFS('Actuals'!$K$6:$K$163,"mastercard|"&amp;F$46&amp;"|cash_and_cash_equivalents",'Actuals'!$F$6:$F$163,"&lt;&gt;")=1,ISNUMBER(_xlfn.XLOOKUP("mastercard|"&amp;F$46&amp;"|cash_and_cash_equivalents",'Actuals'!$K$6:$K$163,'Actuals'!$F$6:$F$163,"n.a.",0)),_xlfn.XLOOKUP("mastercard|"&amp;F$46&amp;"|cash_and_cash_equivalents",'Actuals'!$K$6:$K$163,'Actuals'!$G$6:$G$163,"n.a.",0)="USD"),_xlfn.XLOOKUP("mastercard|"&amp;F$46&amp;"|cash_and_cash_equivalents",'Actuals'!$K$6:$K$163,'Actuals'!$F$6:$F$163,"n.a.",0)/1000000,"n.a."),"n.a.")</ns0:f>
        <ns0:v>8442</ns0:v>
      </ns0:c>
      <ns0:c r="G55" s="19" t="n">
        <ns0:f>IF(COUNTIFS('Actuals'!$K$6:$K$163,"mastercard|"&amp;G$46&amp;"|cash_and_cash_equivalents")=1,IF(AND(COUNTIFS('Actuals'!$K$6:$K$163,"mastercard|"&amp;G$46&amp;"|cash_and_cash_equivalents",'Actuals'!$F$6:$F$163,"&lt;&gt;")=1,ISNUMBER(_xlfn.XLOOKUP("mastercard|"&amp;G$46&amp;"|cash_and_cash_equivalents",'Actuals'!$K$6:$K$163,'Actuals'!$F$6:$F$163,"n.a.",0)),_xlfn.XLOOKUP("mastercard|"&amp;G$46&amp;"|cash_and_cash_equivalents",'Actuals'!$K$6:$K$163,'Actuals'!$G$6:$G$163,"n.a.",0)="USD"),_xlfn.XLOOKUP("mastercard|"&amp;G$46&amp;"|cash_and_cash_equivalents",'Actuals'!$K$6:$K$163,'Actuals'!$F$6:$F$163,"n.a.",0)/1000000,"n.a."),"n.a.")</ns0:f>
        <ns0:v>10566</ns0:v>
      </ns0:c>
      <ns0:c r="H55" s="2"/>
    </ns0:row>
    <ns0:row r="56" ht="23" customHeight="1">
      <ns0:c r="B56" s="2" t="str">
        <ns0:v>Current debt carrying amount</ns0:v>
      </ns0:c>
      <ns0:c r="C56" s="19" t="n">
        <ns0:f>IF(COUNTIFS('Actuals'!$K$6:$K$163,"mastercard|"&amp;C$46&amp;"|current_debt")=1,IF(AND(COUNTIFS('Actuals'!$K$6:$K$163,"mastercard|"&amp;C$46&amp;"|current_debt",'Actuals'!$F$6:$F$163,"&lt;&gt;")=1,ISNUMBER(_xlfn.XLOOKUP("mastercard|"&amp;C$46&amp;"|current_debt",'Actuals'!$K$6:$K$163,'Actuals'!$F$6:$F$163,"n.a.",0)),_xlfn.XLOOKUP("mastercard|"&amp;C$46&amp;"|current_debt",'Actuals'!$K$6:$K$163,'Actuals'!$G$6:$G$163,"n.a.",0)="USD"),_xlfn.XLOOKUP("mastercard|"&amp;C$46&amp;"|current_debt",'Actuals'!$K$6:$K$163,'Actuals'!$F$6:$F$163,"n.a.",0)/1000000,"n.a."),"n.a.")</ns0:f>
        <ns0:v>792</ns0:v>
      </ns0:c>
      <ns0:c r="D56" s="19" t="n">
        <ns0:f>IF(COUNTIFS('Actuals'!$K$6:$K$163,"mastercard|"&amp;D$46&amp;"|current_debt")=1,IF(AND(COUNTIFS('Actuals'!$K$6:$K$163,"mastercard|"&amp;D$46&amp;"|current_debt",'Actuals'!$F$6:$F$163,"&lt;&gt;")=1,ISNUMBER(_xlfn.XLOOKUP("mastercard|"&amp;D$46&amp;"|current_debt",'Actuals'!$K$6:$K$163,'Actuals'!$F$6:$F$163,"n.a.",0)),_xlfn.XLOOKUP("mastercard|"&amp;D$46&amp;"|current_debt",'Actuals'!$K$6:$K$163,'Actuals'!$G$6:$G$163,"n.a.",0)="USD"),_xlfn.XLOOKUP("mastercard|"&amp;D$46&amp;"|current_debt",'Actuals'!$K$6:$K$163,'Actuals'!$F$6:$F$163,"n.a.",0)/1000000,"n.a."),"n.a.")</ns0:f>
        <ns0:v>274</ns0:v>
      </ns0:c>
      <ns0:c r="E56" s="19" t="n">
        <ns0:f>IF(COUNTIFS('Actuals'!$K$6:$K$163,"mastercard|"&amp;E$46&amp;"|current_debt")=1,IF(AND(COUNTIFS('Actuals'!$K$6:$K$163,"mastercard|"&amp;E$46&amp;"|current_debt",'Actuals'!$F$6:$F$163,"&lt;&gt;")=1,ISNUMBER(_xlfn.XLOOKUP("mastercard|"&amp;E$46&amp;"|current_debt",'Actuals'!$K$6:$K$163,'Actuals'!$F$6:$F$163,"n.a.",0)),_xlfn.XLOOKUP("mastercard|"&amp;E$46&amp;"|current_debt",'Actuals'!$K$6:$K$163,'Actuals'!$G$6:$G$163,"n.a.",0)="USD"),_xlfn.XLOOKUP("mastercard|"&amp;E$46&amp;"|current_debt",'Actuals'!$K$6:$K$163,'Actuals'!$F$6:$F$163,"n.a.",0)/1000000,"n.a."),"n.a.")</ns0:f>
        <ns0:v>1337</ns0:v>
      </ns0:c>
      <ns0:c r="F56" s="19" t="n">
        <ns0:f>IF(COUNTIFS('Actuals'!$K$6:$K$163,"mastercard|"&amp;F$46&amp;"|current_debt")=1,IF(AND(COUNTIFS('Actuals'!$K$6:$K$163,"mastercard|"&amp;F$46&amp;"|current_debt",'Actuals'!$F$6:$F$163,"&lt;&gt;")=1,ISNUMBER(_xlfn.XLOOKUP("mastercard|"&amp;F$46&amp;"|current_debt",'Actuals'!$K$6:$K$163,'Actuals'!$F$6:$F$163,"n.a.",0)),_xlfn.XLOOKUP("mastercard|"&amp;F$46&amp;"|current_debt",'Actuals'!$K$6:$K$163,'Actuals'!$G$6:$G$163,"n.a.",0)="USD"),_xlfn.XLOOKUP("mastercard|"&amp;F$46&amp;"|current_debt",'Actuals'!$K$6:$K$163,'Actuals'!$F$6:$F$163,"n.a.",0)/1000000,"n.a."),"n.a.")</ns0:f>
        <ns0:v>750</ns0:v>
      </ns0:c>
      <ns0:c r="G56" s="19" t="n">
        <ns0:f>IF(COUNTIFS('Actuals'!$K$6:$K$163,"mastercard|"&amp;G$46&amp;"|current_debt")=1,IF(AND(COUNTIFS('Actuals'!$K$6:$K$163,"mastercard|"&amp;G$46&amp;"|current_debt",'Actuals'!$F$6:$F$163,"&lt;&gt;")=1,ISNUMBER(_xlfn.XLOOKUP("mastercard|"&amp;G$46&amp;"|current_debt",'Actuals'!$K$6:$K$163,'Actuals'!$F$6:$F$163,"n.a.",0)),_xlfn.XLOOKUP("mastercard|"&amp;G$46&amp;"|current_debt",'Actuals'!$K$6:$K$163,'Actuals'!$G$6:$G$163,"n.a.",0)="USD"),_xlfn.XLOOKUP("mastercard|"&amp;G$46&amp;"|current_debt",'Actuals'!$K$6:$K$163,'Actuals'!$F$6:$F$163,"n.a.",0)/1000000,"n.a."),"n.a.")</ns0:f>
        <ns0:v>749</ns0:v>
      </ns0:c>
      <ns0:c r="H56" s="2"/>
    </ns0:row>
    <ns0:row r="57" ht="23" customHeight="1">
      <ns0:c r="B57" s="2" t="str">
        <ns0:v>Noncurrent debt carrying amount</ns0:v>
      </ns0:c>
      <ns0:c r="C57" s="19" t="n">
        <ns0:f>IF(COUNTIFS('Actuals'!$K$6:$K$163,"mastercard|"&amp;C$46&amp;"|noncurrent_debt")=1,IF(AND(COUNTIFS('Actuals'!$K$6:$K$163,"mastercard|"&amp;C$46&amp;"|noncurrent_debt",'Actuals'!$F$6:$F$163,"&lt;&gt;")=1,ISNUMBER(_xlfn.XLOOKUP("mastercard|"&amp;C$46&amp;"|noncurrent_debt",'Actuals'!$K$6:$K$163,'Actuals'!$F$6:$F$163,"n.a.",0)),_xlfn.XLOOKUP("mastercard|"&amp;C$46&amp;"|noncurrent_debt",'Actuals'!$K$6:$K$163,'Actuals'!$G$6:$G$163,"n.a.",0)="USD"),_xlfn.XLOOKUP("mastercard|"&amp;C$46&amp;"|noncurrent_debt",'Actuals'!$K$6:$K$163,'Actuals'!$F$6:$F$163,"n.a.",0)/1000000,"n.a."),"n.a.")</ns0:f>
        <ns0:v>13109</ns0:v>
      </ns0:c>
      <ns0:c r="D57" s="19" t="n">
        <ns0:f>IF(COUNTIFS('Actuals'!$K$6:$K$163,"mastercard|"&amp;D$46&amp;"|noncurrent_debt")=1,IF(AND(COUNTIFS('Actuals'!$K$6:$K$163,"mastercard|"&amp;D$46&amp;"|noncurrent_debt",'Actuals'!$F$6:$F$163,"&lt;&gt;")=1,ISNUMBER(_xlfn.XLOOKUP("mastercard|"&amp;D$46&amp;"|noncurrent_debt",'Actuals'!$K$6:$K$163,'Actuals'!$F$6:$F$163,"n.a.",0)),_xlfn.XLOOKUP("mastercard|"&amp;D$46&amp;"|noncurrent_debt",'Actuals'!$K$6:$K$163,'Actuals'!$G$6:$G$163,"n.a.",0)="USD"),_xlfn.XLOOKUP("mastercard|"&amp;D$46&amp;"|noncurrent_debt",'Actuals'!$K$6:$K$163,'Actuals'!$F$6:$F$163,"n.a.",0)/1000000,"n.a."),"n.a.")</ns0:f>
        <ns0:v>13749</ns0:v>
      </ns0:c>
      <ns0:c r="E57" s="19" t="n">
        <ns0:f>IF(COUNTIFS('Actuals'!$K$6:$K$163,"mastercard|"&amp;E$46&amp;"|noncurrent_debt")=1,IF(AND(COUNTIFS('Actuals'!$K$6:$K$163,"mastercard|"&amp;E$46&amp;"|noncurrent_debt",'Actuals'!$F$6:$F$163,"&lt;&gt;")=1,ISNUMBER(_xlfn.XLOOKUP("mastercard|"&amp;E$46&amp;"|noncurrent_debt",'Actuals'!$K$6:$K$163,'Actuals'!$F$6:$F$163,"n.a.",0)),_xlfn.XLOOKUP("mastercard|"&amp;E$46&amp;"|noncurrent_debt",'Actuals'!$K$6:$K$163,'Actuals'!$G$6:$G$163,"n.a.",0)="USD"),_xlfn.XLOOKUP("mastercard|"&amp;E$46&amp;"|noncurrent_debt",'Actuals'!$K$6:$K$163,'Actuals'!$F$6:$F$163,"n.a.",0)/1000000,"n.a."),"n.a.")</ns0:f>
        <ns0:v>14344</ns0:v>
      </ns0:c>
      <ns0:c r="F57" s="19" t="n">
        <ns0:f>IF(COUNTIFS('Actuals'!$K$6:$K$163,"mastercard|"&amp;F$46&amp;"|noncurrent_debt")=1,IF(AND(COUNTIFS('Actuals'!$K$6:$K$163,"mastercard|"&amp;F$46&amp;"|noncurrent_debt",'Actuals'!$F$6:$F$163,"&lt;&gt;")=1,ISNUMBER(_xlfn.XLOOKUP("mastercard|"&amp;F$46&amp;"|noncurrent_debt",'Actuals'!$K$6:$K$163,'Actuals'!$F$6:$F$163,"n.a.",0)),_xlfn.XLOOKUP("mastercard|"&amp;F$46&amp;"|noncurrent_debt",'Actuals'!$K$6:$K$163,'Actuals'!$G$6:$G$163,"n.a.",0)="USD"),_xlfn.XLOOKUP("mastercard|"&amp;F$46&amp;"|noncurrent_debt",'Actuals'!$K$6:$K$163,'Actuals'!$F$6:$F$163,"n.a.",0)/1000000,"n.a."),"n.a.")</ns0:f>
        <ns0:v>17476</ns0:v>
      </ns0:c>
      <ns0:c r="G57" s="19" t="n">
        <ns0:f>IF(COUNTIFS('Actuals'!$K$6:$K$163,"mastercard|"&amp;G$46&amp;"|noncurrent_debt")=1,IF(AND(COUNTIFS('Actuals'!$K$6:$K$163,"mastercard|"&amp;G$46&amp;"|noncurrent_debt",'Actuals'!$F$6:$F$163,"&lt;&gt;")=1,ISNUMBER(_xlfn.XLOOKUP("mastercard|"&amp;G$46&amp;"|noncurrent_debt",'Actuals'!$K$6:$K$163,'Actuals'!$F$6:$F$163,"n.a.",0)),_xlfn.XLOOKUP("mastercard|"&amp;G$46&amp;"|noncurrent_debt",'Actuals'!$K$6:$K$163,'Actuals'!$G$6:$G$163,"n.a.",0)="USD"),_xlfn.XLOOKUP("mastercard|"&amp;G$46&amp;"|noncurrent_debt",'Actuals'!$K$6:$K$163,'Actuals'!$F$6:$F$163,"n.a.",0)/1000000,"n.a."),"n.a.")</ns0:f>
        <ns0:v>18251</ns0:v>
      </ns0:c>
      <ns0:c r="H57" s="2"/>
    </ns0:row>
    <ns0:row r="58" ht="23" customHeight="1">
      <ns0:c r="B58" s="2" t="str">
        <ns0:v>Reported total assets</ns0:v>
      </ns0:c>
      <ns0:c r="C58" s="19" t="n">
        <ns0:f>IF(COUNTIFS('Actuals'!$K$6:$K$163,"mastercard|"&amp;C$46&amp;"|total_assets")=1,IF(AND(COUNTIFS('Actuals'!$K$6:$K$163,"mastercard|"&amp;C$46&amp;"|total_assets",'Actuals'!$F$6:$F$163,"&lt;&gt;")=1,ISNUMBER(_xlfn.XLOOKUP("mastercard|"&amp;C$46&amp;"|total_assets",'Actuals'!$K$6:$K$163,'Actuals'!$F$6:$F$163,"n.a.",0)),_xlfn.XLOOKUP("mastercard|"&amp;C$46&amp;"|total_assets",'Actuals'!$K$6:$K$163,'Actuals'!$G$6:$G$163,"n.a.",0)="USD"),_xlfn.XLOOKUP("mastercard|"&amp;C$46&amp;"|total_assets",'Actuals'!$K$6:$K$163,'Actuals'!$F$6:$F$163,"n.a.",0)/1000000,"n.a."),"n.a.")</ns0:f>
        <ns0:v>37669</ns0:v>
      </ns0:c>
      <ns0:c r="D58" s="19" t="n">
        <ns0:f>IF(COUNTIFS('Actuals'!$K$6:$K$163,"mastercard|"&amp;D$46&amp;"|total_assets")=1,IF(AND(COUNTIFS('Actuals'!$K$6:$K$163,"mastercard|"&amp;D$46&amp;"|total_assets",'Actuals'!$F$6:$F$163,"&lt;&gt;")=1,ISNUMBER(_xlfn.XLOOKUP("mastercard|"&amp;D$46&amp;"|total_assets",'Actuals'!$K$6:$K$163,'Actuals'!$F$6:$F$163,"n.a.",0)),_xlfn.XLOOKUP("mastercard|"&amp;D$46&amp;"|total_assets",'Actuals'!$K$6:$K$163,'Actuals'!$G$6:$G$163,"n.a.",0)="USD"),_xlfn.XLOOKUP("mastercard|"&amp;D$46&amp;"|total_assets",'Actuals'!$K$6:$K$163,'Actuals'!$F$6:$F$163,"n.a.",0)/1000000,"n.a."),"n.a.")</ns0:f>
        <ns0:v>38724</ns0:v>
      </ns0:c>
      <ns0:c r="E58" s="19" t="n">
        <ns0:f>IF(COUNTIFS('Actuals'!$K$6:$K$163,"mastercard|"&amp;E$46&amp;"|total_assets")=1,IF(AND(COUNTIFS('Actuals'!$K$6:$K$163,"mastercard|"&amp;E$46&amp;"|total_assets",'Actuals'!$F$6:$F$163,"&lt;&gt;")=1,ISNUMBER(_xlfn.XLOOKUP("mastercard|"&amp;E$46&amp;"|total_assets",'Actuals'!$K$6:$K$163,'Actuals'!$F$6:$F$163,"n.a.",0)),_xlfn.XLOOKUP("mastercard|"&amp;E$46&amp;"|total_assets",'Actuals'!$K$6:$K$163,'Actuals'!$G$6:$G$163,"n.a.",0)="USD"),_xlfn.XLOOKUP("mastercard|"&amp;E$46&amp;"|total_assets",'Actuals'!$K$6:$K$163,'Actuals'!$F$6:$F$163,"n.a.",0)/1000000,"n.a."),"n.a.")</ns0:f>
        <ns0:v>42448</ns0:v>
      </ns0:c>
      <ns0:c r="F58" s="19" t="n">
        <ns0:f>IF(COUNTIFS('Actuals'!$K$6:$K$163,"mastercard|"&amp;F$46&amp;"|total_assets")=1,IF(AND(COUNTIFS('Actuals'!$K$6:$K$163,"mastercard|"&amp;F$46&amp;"|total_assets",'Actuals'!$F$6:$F$163,"&lt;&gt;")=1,ISNUMBER(_xlfn.XLOOKUP("mastercard|"&amp;F$46&amp;"|total_assets",'Actuals'!$K$6:$K$163,'Actuals'!$F$6:$F$163,"n.a.",0)),_xlfn.XLOOKUP("mastercard|"&amp;F$46&amp;"|total_assets",'Actuals'!$K$6:$K$163,'Actuals'!$G$6:$G$163,"n.a.",0)="USD"),_xlfn.XLOOKUP("mastercard|"&amp;F$46&amp;"|total_assets",'Actuals'!$K$6:$K$163,'Actuals'!$F$6:$F$163,"n.a.",0)/1000000,"n.a."),"n.a.")</ns0:f>
        <ns0:v>48081</ns0:v>
      </ns0:c>
      <ns0:c r="G58" s="19" t="n">
        <ns0:f>IF(COUNTIFS('Actuals'!$K$6:$K$163,"mastercard|"&amp;G$46&amp;"|total_assets")=1,IF(AND(COUNTIFS('Actuals'!$K$6:$K$163,"mastercard|"&amp;G$46&amp;"|total_assets",'Actuals'!$F$6:$F$163,"&lt;&gt;")=1,ISNUMBER(_xlfn.XLOOKUP("mastercard|"&amp;G$46&amp;"|total_assets",'Actuals'!$K$6:$K$163,'Actuals'!$F$6:$F$163,"n.a.",0)),_xlfn.XLOOKUP("mastercard|"&amp;G$46&amp;"|total_assets",'Actuals'!$K$6:$K$163,'Actuals'!$G$6:$G$163,"n.a.",0)="USD"),_xlfn.XLOOKUP("mastercard|"&amp;G$46&amp;"|total_assets",'Actuals'!$K$6:$K$163,'Actuals'!$F$6:$F$163,"n.a.",0)/1000000,"n.a."),"n.a.")</ns0:f>
        <ns0:v>54157</ns0:v>
      </ns0:c>
      <ns0:c r="H58" s="2"/>
    </ns0:row>
    <ns0:row r="59" ht="23" customHeight="1">
      <ns0:c r="B59" s="2" t="str">
        <ns0:v>Reported total liabilities</ns0:v>
      </ns0:c>
      <ns0:c r="C59" s="19" t="n">
        <ns0:f>IF(COUNTIFS('Actuals'!$K$6:$K$163,"mastercard|"&amp;C$46&amp;"|total_liabilities")=1,IF(AND(COUNTIFS('Actuals'!$K$6:$K$163,"mastercard|"&amp;C$46&amp;"|total_liabilities",'Actuals'!$F$6:$F$163,"&lt;&gt;")=1,ISNUMBER(_xlfn.XLOOKUP("mastercard|"&amp;C$46&amp;"|total_liabilities",'Actuals'!$K$6:$K$163,'Actuals'!$F$6:$F$163,"n.a.",0)),_xlfn.XLOOKUP("mastercard|"&amp;C$46&amp;"|total_liabilities",'Actuals'!$K$6:$K$163,'Actuals'!$G$6:$G$163,"n.a.",0)="USD"),_xlfn.XLOOKUP("mastercard|"&amp;C$46&amp;"|total_liabilities",'Actuals'!$K$6:$K$163,'Actuals'!$F$6:$F$163,"n.a.",0)/1000000,"n.a."),"n.a.")</ns0:f>
        <ns0:v>30257</ns0:v>
      </ns0:c>
      <ns0:c r="D59" s="19" t="n">
        <ns0:f>IF(COUNTIFS('Actuals'!$K$6:$K$163,"mastercard|"&amp;D$46&amp;"|total_liabilities")=1,IF(AND(COUNTIFS('Actuals'!$K$6:$K$163,"mastercard|"&amp;D$46&amp;"|total_liabilities",'Actuals'!$F$6:$F$163,"&lt;&gt;")=1,ISNUMBER(_xlfn.XLOOKUP("mastercard|"&amp;D$46&amp;"|total_liabilities",'Actuals'!$K$6:$K$163,'Actuals'!$F$6:$F$163,"n.a.",0)),_xlfn.XLOOKUP("mastercard|"&amp;D$46&amp;"|total_liabilities",'Actuals'!$K$6:$K$163,'Actuals'!$G$6:$G$163,"n.a.",0)="USD"),_xlfn.XLOOKUP("mastercard|"&amp;D$46&amp;"|total_liabilities",'Actuals'!$K$6:$K$163,'Actuals'!$F$6:$F$163,"n.a.",0)/1000000,"n.a."),"n.a.")</ns0:f>
        <ns0:v>32347</ns0:v>
      </ns0:c>
      <ns0:c r="E59" s="19" t="n">
        <ns0:f>IF(COUNTIFS('Actuals'!$K$6:$K$163,"mastercard|"&amp;E$46&amp;"|total_liabilities")=1,IF(AND(COUNTIFS('Actuals'!$K$6:$K$163,"mastercard|"&amp;E$46&amp;"|total_liabilities",'Actuals'!$F$6:$F$163,"&lt;&gt;")=1,ISNUMBER(_xlfn.XLOOKUP("mastercard|"&amp;E$46&amp;"|total_liabilities",'Actuals'!$K$6:$K$163,'Actuals'!$F$6:$F$163,"n.a.",0)),_xlfn.XLOOKUP("mastercard|"&amp;E$46&amp;"|total_liabilities",'Actuals'!$K$6:$K$163,'Actuals'!$G$6:$G$163,"n.a.",0)="USD"),_xlfn.XLOOKUP("mastercard|"&amp;E$46&amp;"|total_liabilities",'Actuals'!$K$6:$K$163,'Actuals'!$F$6:$F$163,"n.a.",0)/1000000,"n.a."),"n.a.")</ns0:f>
        <ns0:v>35451</ns0:v>
      </ns0:c>
      <ns0:c r="F59" s="19" t="n">
        <ns0:f>IF(COUNTIFS('Actuals'!$K$6:$K$163,"mastercard|"&amp;F$46&amp;"|total_liabilities")=1,IF(AND(COUNTIFS('Actuals'!$K$6:$K$163,"mastercard|"&amp;F$46&amp;"|total_liabilities",'Actuals'!$F$6:$F$163,"&lt;&gt;")=1,ISNUMBER(_xlfn.XLOOKUP("mastercard|"&amp;F$46&amp;"|total_liabilities",'Actuals'!$K$6:$K$163,'Actuals'!$F$6:$F$163,"n.a.",0)),_xlfn.XLOOKUP("mastercard|"&amp;F$46&amp;"|total_liabilities",'Actuals'!$K$6:$K$163,'Actuals'!$G$6:$G$163,"n.a.",0)="USD"),_xlfn.XLOOKUP("mastercard|"&amp;F$46&amp;"|total_liabilities",'Actuals'!$K$6:$K$163,'Actuals'!$F$6:$F$163,"n.a.",0)/1000000,"n.a."),"n.a.")</ns0:f>
        <ns0:v>41566</ns0:v>
      </ns0:c>
      <ns0:c r="G59" s="19" t="n">
        <ns0:f>IF(COUNTIFS('Actuals'!$K$6:$K$163,"mastercard|"&amp;G$46&amp;"|total_liabilities")=1,IF(AND(COUNTIFS('Actuals'!$K$6:$K$163,"mastercard|"&amp;G$46&amp;"|total_liabilities",'Actuals'!$F$6:$F$163,"&lt;&gt;")=1,ISNUMBER(_xlfn.XLOOKUP("mastercard|"&amp;G$46&amp;"|total_liabilities",'Actuals'!$K$6:$K$163,'Actuals'!$F$6:$F$163,"n.a.",0)),_xlfn.XLOOKUP("mastercard|"&amp;G$46&amp;"|total_liabilities",'Actuals'!$K$6:$K$163,'Actuals'!$G$6:$G$163,"n.a.",0)="USD"),_xlfn.XLOOKUP("mastercard|"&amp;G$46&amp;"|total_liabilities",'Actuals'!$K$6:$K$163,'Actuals'!$F$6:$F$163,"n.a.",0)/1000000,"n.a."),"n.a.")</ns0:f>
        <ns0:v>46411</ns0:v>
      </ns0:c>
      <ns0:c r="H59" s="2"/>
    </ns0:row>
    <ns0:row r="60" ht="23" customHeight="1">
      <ns0:c r="B60" s="22" t="str">
        <ns0:v>Reported net revenue YoY growth</ns0:v>
      </ns0:c>
      <ns0:c r="C60" s="21" t="str">
        <ns0:f>"n.a."</ns0:f>
        <ns0:v>n.a.</ns0:v>
      </ns0:c>
      <ns0:c r="D60" s="21" t="n">
        <ns0:f>IF(AND(ISNUMBER(D50),ISNUMBER(C50),C50&gt;0),D50/C50-1,"n.a.")</ns0:f>
        <ns0:v>0.17755772082185972</ns0:v>
      </ns0:c>
      <ns0:c r="E60" s="21" t="n">
        <ns0:f>IF(AND(ISNUMBER(E50),ISNUMBER(D50),D50&gt;0),E50/D50-1,"n.a.")</ns0:f>
        <ns0:v>0.1286594414714215</ns0:v>
      </ns0:c>
      <ns0:c r="F60" s="21" t="n">
        <ns0:f>IF(AND(ISNUMBER(F50),ISNUMBER(E50),E50&gt;0),F50/E50-1,"n.a.")</ns0:f>
        <ns0:v>0.12228065981353087</ns0:v>
      </ns0:c>
      <ns0:c r="G60" s="21" t="n">
        <ns0:f>IF(AND(ISNUMBER(G50),ISNUMBER(F50),F50&gt;0),G50/F50-1,"n.a.")</ns0:f>
        <ns0:v>0.16416373770724602</ns0:v>
      </ns0:c>
      <ns0:c r="H60" s="2"/>
    </ns0:row>
    <ns0:row r="61" ht="23" customHeight="1">
      <ns0:c r="B61" s="22" t="str">
        <ns0:v>Reported operating income YoY growth</ns0:v>
      </ns0:c>
      <ns0:c r="C61" s="21" t="str">
        <ns0:f>"n.a."</ns0:f>
        <ns0:v>n.a.</ns0:v>
      </ns0:c>
      <ns0:c r="D61" s="21" t="n">
        <ns0:f>IF(AND(ISNUMBER(D52),ISNUMBER(C52),C52&gt;0),D52/C52-1,"n.a.")</ns0:f>
        <ns0:v>0.21642531243800822</ns0:v>
      </ns0:c>
      <ns0:c r="E61" s="21" t="n">
        <ns0:f>IF(AND(ISNUMBER(E52),ISNUMBER(D52),D52&gt;0),E52/D52-1,"n.a.")</ns0:f>
        <ns0:v>0.1422048271363341</ns0:v>
      </ns0:c>
      <ns0:c r="F61" s="21" t="n">
        <ns0:f>IF(AND(ISNUMBER(F52),ISNUMBER(E52),E52&gt;0),F52/E52-1,"n.a.")</ns0:f>
        <ns0:v>0.1123643632210165</ns0:v>
      </ns0:c>
      <ns0:c r="G61" s="21" t="n">
        <ns0:f>IF(AND(ISNUMBER(G52),ISNUMBER(F52),F52&gt;0),G52/F52-1,"n.a.")</ns0:f>
        <ns0:v>0.21274547554871015</ns0:v>
      </ns0:c>
      <ns0:c r="H61" s="2"/>
    </ns0:row>
    <ns0:row r="62" ht="23" customHeight="1">
      <ns0:c r="B62" s="22" t="str">
        <ns0:v>Operating margin</ns0:v>
      </ns0:c>
      <ns0:c r="C62" s="21" t="n">
        <ns0:f>IF(AND(ISNUMBER(C52),ISNUMBER(C50),C50&gt;0),C52/C50,"n.a.")</ns0:f>
        <ns0:v>0.5338911247617031</ns0:v>
      </ns0:c>
      <ns0:c r="D62" s="21" t="n">
        <ns0:f>IF(AND(ISNUMBER(D52),ISNUMBER(D50),D50&gt;0),D52/D50,"n.a.")</ns0:f>
        <ns0:v>0.5515132436929442</ns0:v>
      </ns0:c>
      <ns0:c r="E62" s="21" t="n">
        <ns0:f>IF(AND(ISNUMBER(E52),ISNUMBER(E50),E50&gt;0),E52/E50,"n.a.")</ns0:f>
        <ns0:v>0.5581321220814408</ns0:v>
      </ns0:c>
      <ns0:c r="F62" s="21" t="n">
        <ns0:f>IF(AND(ISNUMBER(F52),ISNUMBER(F50),F50&gt;0),F52/F50,"n.a.")</ns0:f>
        <ns0:v>0.5532005538395995</ns0:v>
      </ns0:c>
      <ns0:c r="G62" s="21" t="n">
        <ns0:f>IF(AND(ISNUMBER(G52),ISNUMBER(G50),G50&gt;0),G52/G50,"n.a.")</ns0:f>
        <ns0:v>0.5762861760849013</ns0:v>
      </ns0:c>
      <ns0:c r="H62" s="2"/>
    </ns0:row>
    <ns0:row r="63" ht="23" customHeight="1">
      <ns0:c r="B63" s="22" t="str">
        <ns0:v>Consolidated net margin</ns0:v>
      </ns0:c>
      <ns0:c r="C63" s="21" t="n">
        <ns0:f>IF(AND(ISNUMBER(C53),ISNUMBER(C50),C50&gt;0),C53/C50,"n.a.")</ns0:f>
        <ns0:v>0.4600190637576785</ns0:v>
      </ns0:c>
      <ns0:c r="D63" s="21" t="n">
        <ns0:f>IF(AND(ISNUMBER(D53),ISNUMBER(D50),D50&gt;0),D53/D50,"n.a.")</ns0:f>
        <ns0:v>0.4465530422269191</ns0:v>
      </ns0:c>
      <ns0:c r="E63" s="21" t="n">
        <ns0:f>IF(AND(ISNUMBER(E53),ISNUMBER(E50),E50&gt;0),E53/E50,"n.a.")</ns0:f>
        <ns0:v>0.44605147820543467</ns0:v>
      </ns0:c>
      <ns0:c r="F63" s="21" t="n">
        <ns0:f>IF(AND(ISNUMBER(F53),ISNUMBER(F50),F50&gt;0),F53/F50,"n.a.")</ns0:f>
        <ns0:v>0.4570596797671033</ns0:v>
      </ns0:c>
      <ns0:c r="G63" s="21" t="n">
        <ns0:f>IF(AND(ISNUMBER(G53),ISNUMBER(G50),G50&gt;0),G53/G50,"n.a.")</ns0:f>
        <ns0:v>0.45646671342746487</ns0:v>
      </ns0:c>
      <ns0:c r="H63" s="2"/>
    </ns0:row>
    <ns0:row r="64" ht="23" customHeight="1">
      <ns0:c r="B64" s="22" t="str">
        <ns0:v>Operating expense ratio</ns0:v>
      </ns0:c>
      <ns0:c r="C64" s="21" t="n">
        <ns0:f>IF(AND(ISNUMBER(C51),ISNUMBER(C50),C50&gt;0),C51/C50,"n.a.")</ns0:f>
        <ns0:v>0.46610887523829697</ns0:v>
      </ns0:c>
      <ns0:c r="D64" s="21" t="n">
        <ns0:f>IF(AND(ISNUMBER(D51),ISNUMBER(D50),D50&gt;0),D51/D50,"n.a.")</ns0:f>
        <ns0:v>0.4484867563070558</ns0:v>
      </ns0:c>
      <ns0:c r="E64" s="21" t="n">
        <ns0:f>IF(AND(ISNUMBER(E51),ISNUMBER(E50),E50&gt;0),E51/E50,"n.a.")</ns0:f>
        <ns0:v>0.44186787791855925</ns0:v>
      </ns0:c>
      <ns0:c r="F64" s="21" t="n">
        <ns0:f>IF(AND(ISNUMBER(F51),ISNUMBER(F50),F50&gt;0),F51/F50,"n.a.")</ns0:f>
        <ns0:v>0.44679944616040046</ns0:v>
      </ns0:c>
      <ns0:c r="G64" s="21" t="n">
        <ns0:f>IF(AND(ISNUMBER(G51),ISNUMBER(G50),G50&gt;0),G51/G50,"n.a.")</ns0:f>
        <ns0:v>0.42371382391509865</ns0:v>
      </ns0:c>
      <ns0:c r="H64" s="2"/>
    </ns0:row>
    <ns0:row r="65" ht="23" customHeight="1">
      <ns0:c r="B65" s="22" t="str">
        <ns0:v>OCF / consolidated net income</ns0:v>
      </ns0:c>
      <ns0:c r="C65" s="23" t="n">
        <ns0:f>IF(AND(ISNUMBER(C54),ISNUMBER(C53),C53&gt;0),C54/C53,"n.a.")</ns0:f>
        <ns0:v>1.0893288822378266</ns0:v>
      </ns0:c>
      <ns0:c r="D65" s="23" t="n">
        <ns0:f>IF(AND(ISNUMBER(D54),ISNUMBER(D53),D53&gt;0),D54/D53,"n.a.")</ns0:f>
        <ns0:v>1.1273917421953676</ns0:v>
      </ns0:c>
      <ns0:c r="E65" s="23" t="n">
        <ns0:f>IF(AND(ISNUMBER(E54),ISNUMBER(E53),E53&gt;0),E54/E53,"n.a.")</ns0:f>
        <ns0:v>1.0701205895489057</ns0:v>
      </ns0:c>
      <ns0:c r="F65" s="23" t="n">
        <ns0:f>IF(AND(ISNUMBER(F54),ISNUMBER(F53),F53&gt;0),F54/F53,"n.a.")</ns0:f>
        <ns0:v>1.1480503340065247</ns0:v>
      </ns0:c>
      <ns0:c r="G65" s="23" t="n">
        <ns0:f>IF(AND(ISNUMBER(G54),ISNUMBER(G53),G53&gt;0),G54/G53,"n.a.")</ns0:f>
        <ns0:v>1.179048637092464</ns0:v>
      </ns0:c>
      <ns0:c r="H65" s="2"/>
    </ns0:row>
    <ns0:row r="66" ht="23" customHeight="1">
      <ns0:c r="B66" s="22" t="str">
        <ns0:v>Operating margin YoY change</ns0:v>
      </ns0:c>
      <ns0:c r="C66" s="24" t="str">
        <ns0:f>"n.a."</ns0:f>
        <ns0:v>n.a.</ns0:v>
      </ns0:c>
      <ns0:c r="D66" s="24" t="n">
        <ns0:f>IF(AND(ISNUMBER(D62),ISNUMBER(C62)),(D62-C62)*100,"n.a.")</ns0:f>
        <ns0:v>1.7622118931241104</ns0:v>
      </ns0:c>
      <ns0:c r="E66" s="24" t="n">
        <ns0:f>IF(AND(ISNUMBER(E62),ISNUMBER(D62)),(E62-D62)*100,"n.a.")</ns0:f>
        <ns0:v>0.6618878388496618</ns0:v>
      </ns0:c>
      <ns0:c r="F66" s="24" t="n">
        <ns0:f>IF(AND(ISNUMBER(F62),ISNUMBER(E62)),(F62-E62)*100,"n.a.")</ns0:f>
        <ns0:v>-0.49315682418412665</ns0:v>
      </ns0:c>
      <ns0:c r="G66" s="24" t="n">
        <ns0:f>IF(AND(ISNUMBER(G62),ISNUMBER(F62)),(G62-F62)*100,"n.a.")</ns0:f>
        <ns0:v>2.308562224530175</ns0:v>
      </ns0:c>
      <ns0:c r="H66" s="2"/>
    </ns0:row>
    <ns0:row r="67" ht="23" customHeight="1">
      <ns0:c r="B67" s="2" t="str">
        <ns0:v>Defined capital cash payments</ns0:v>
      </ns0:c>
      <ns0:c r="C67" s="19" t="n">
        <ns0:f>IF(AND(ISNUMBER(IF(COUNTIFS('Actuals'!$K$6:$K$163,"mastercard|"&amp;C$46&amp;"|capital_payments_primary")=1,IF(AND(COUNTIFS('Actuals'!$K$6:$K$163,"mastercard|"&amp;C$46&amp;"|capital_payments_primary",'Actuals'!$F$6:$F$163,"&lt;&gt;")=1,ISNUMBER(_xlfn.XLOOKUP("mastercard|"&amp;C$46&amp;"|capital_payments_primary",'Actuals'!$K$6:$K$163,'Actuals'!$F$6:$F$163,"n.a.",0)),_xlfn.XLOOKUP("mastercard|"&amp;C$46&amp;"|capital_payments_primary",'Actuals'!$K$6:$K$163,'Actuals'!$G$6:$G$163,"n.a.",0)="USD"),_xlfn.XLOOKUP("mastercard|"&amp;C$46&amp;"|capital_payments_primary",'Actuals'!$K$6:$K$163,'Actuals'!$F$6:$F$163,"n.a.",0)/1000000,"n.a."),"n.a.")),ISNUMBER(IF(COUNTIFS('Actuals'!$K$6:$K$163,"mastercard|"&amp;C$46&amp;"|capitalized_software_payments")=1,IF(AND(COUNTIFS('Actuals'!$K$6:$K$163,"mastercard|"&amp;C$46&amp;"|capitalized_software_payments",'Actuals'!$F$6:$F$163,"&lt;&gt;")=1,ISNUMBER(_xlfn.XLOOKUP("mastercard|"&amp;C$46&amp;"|capitalized_software_payments",'Actuals'!$K$6:$K$163,'Actuals'!$F$6:$F$163,"n.a.",0)),_xlfn.XLOOKUP("mastercard|"&amp;C$46&amp;"|capitalized_software_payments",'Actuals'!$K$6:$K$163,'Actuals'!$G$6:$G$163,"n.a.",0)="USD"),_xlfn.XLOOKUP("mastercard|"&amp;C$46&amp;"|capitalized_software_payments",'Actuals'!$K$6:$K$163,'Actuals'!$F$6:$F$163,"n.a.",0)/1000000,"n.a."),"n.a."))),SUM(IF(COUNTIFS('Actuals'!$K$6:$K$163,"mastercard|"&amp;C$46&amp;"|capital_payments_primary")=1,IF(AND(COUNTIFS('Actuals'!$K$6:$K$163,"mastercard|"&amp;C$46&amp;"|capital_payments_primary",'Actuals'!$F$6:$F$163,"&lt;&gt;")=1,ISNUMBER(_xlfn.XLOOKUP("mastercard|"&amp;C$46&amp;"|capital_payments_primary",'Actuals'!$K$6:$K$163,'Actuals'!$F$6:$F$163,"n.a.",0)),_xlfn.XLOOKUP("mastercard|"&amp;C$46&amp;"|capital_payments_primary",'Actuals'!$K$6:$K$163,'Actuals'!$G$6:$G$163,"n.a.",0)="USD"),_xlfn.XLOOKUP("mastercard|"&amp;C$46&amp;"|capital_payments_primary",'Actuals'!$K$6:$K$163,'Actuals'!$F$6:$F$163,"n.a.",0)/1000000,"n.a."),"n.a."),IF(COUNTIFS('Actuals'!$K$6:$K$163,"mastercard|"&amp;C$46&amp;"|capitalized_software_payments")=1,IF(AND(COUNTIFS('Actuals'!$K$6:$K$163,"mastercard|"&amp;C$46&amp;"|capitalized_software_payments",'Actuals'!$F$6:$F$163,"&lt;&gt;")=1,ISNUMBER(_xlfn.XLOOKUP("mastercard|"&amp;C$46&amp;"|capitalized_software_payments",'Actuals'!$K$6:$K$163,'Actuals'!$F$6:$F$163,"n.a.",0)),_xlfn.XLOOKUP("mastercard|"&amp;C$46&amp;"|capitalized_software_payments",'Actuals'!$K$6:$K$163,'Actuals'!$G$6:$G$163,"n.a.",0)="USD"),_xlfn.XLOOKUP("mastercard|"&amp;C$46&amp;"|capitalized_software_payments",'Actuals'!$K$6:$K$163,'Actuals'!$F$6:$F$163,"n.a.",0)/1000000,"n.a."),"n.a.")),"n.a.")</ns0:f>
        <ns0:v>814</ns0:v>
      </ns0:c>
      <ns0:c r="D67" s="19" t="n">
        <ns0:f>IF(AND(ISNUMBER(IF(COUNTIFS('Actuals'!$K$6:$K$163,"mastercard|"&amp;D$46&amp;"|capital_payments_primary")=1,IF(AND(COUNTIFS('Actuals'!$K$6:$K$163,"mastercard|"&amp;D$46&amp;"|capital_payments_primary",'Actuals'!$F$6:$F$163,"&lt;&gt;")=1,ISNUMBER(_xlfn.XLOOKUP("mastercard|"&amp;D$46&amp;"|capital_payments_primary",'Actuals'!$K$6:$K$163,'Actuals'!$F$6:$F$163,"n.a.",0)),_xlfn.XLOOKUP("mastercard|"&amp;D$46&amp;"|capital_payments_primary",'Actuals'!$K$6:$K$163,'Actuals'!$G$6:$G$163,"n.a.",0)="USD"),_xlfn.XLOOKUP("mastercard|"&amp;D$46&amp;"|capital_payments_primary",'Actuals'!$K$6:$K$163,'Actuals'!$F$6:$F$163,"n.a.",0)/1000000,"n.a."),"n.a.")),ISNUMBER(IF(COUNTIFS('Actuals'!$K$6:$K$163,"mastercard|"&amp;D$46&amp;"|capitalized_software_payments")=1,IF(AND(COUNTIFS('Actuals'!$K$6:$K$163,"mastercard|"&amp;D$46&amp;"|capitalized_software_payments",'Actuals'!$F$6:$F$163,"&lt;&gt;")=1,ISNUMBER(_xlfn.XLOOKUP("mastercard|"&amp;D$46&amp;"|capitalized_software_payments",'Actuals'!$K$6:$K$163,'Actuals'!$F$6:$F$163,"n.a.",0)),_xlfn.XLOOKUP("mastercard|"&amp;D$46&amp;"|capitalized_software_payments",'Actuals'!$K$6:$K$163,'Actuals'!$G$6:$G$163,"n.a.",0)="USD"),_xlfn.XLOOKUP("mastercard|"&amp;D$46&amp;"|capitalized_software_payments",'Actuals'!$K$6:$K$163,'Actuals'!$F$6:$F$163,"n.a.",0)/1000000,"n.a."),"n.a."))),SUM(IF(COUNTIFS('Actuals'!$K$6:$K$163,"mastercard|"&amp;D$46&amp;"|capital_payments_primary")=1,IF(AND(COUNTIFS('Actuals'!$K$6:$K$163,"mastercard|"&amp;D$46&amp;"|capital_payments_primary",'Actuals'!$F$6:$F$163,"&lt;&gt;")=1,ISNUMBER(_xlfn.XLOOKUP("mastercard|"&amp;D$46&amp;"|capital_payments_primary",'Actuals'!$K$6:$K$163,'Actuals'!$F$6:$F$163,"n.a.",0)),_xlfn.XLOOKUP("mastercard|"&amp;D$46&amp;"|capital_payments_primary",'Actuals'!$K$6:$K$163,'Actuals'!$G$6:$G$163,"n.a.",0)="USD"),_xlfn.XLOOKUP("mastercard|"&amp;D$46&amp;"|capital_payments_primary",'Actuals'!$K$6:$K$163,'Actuals'!$F$6:$F$163,"n.a.",0)/1000000,"n.a."),"n.a."),IF(COUNTIFS('Actuals'!$K$6:$K$163,"mastercard|"&amp;D$46&amp;"|capitalized_software_payments")=1,IF(AND(COUNTIFS('Actuals'!$K$6:$K$163,"mastercard|"&amp;D$46&amp;"|capitalized_software_payments",'Actuals'!$F$6:$F$163,"&lt;&gt;")=1,ISNUMBER(_xlfn.XLOOKUP("mastercard|"&amp;D$46&amp;"|capitalized_software_payments",'Actuals'!$K$6:$K$163,'Actuals'!$F$6:$F$163,"n.a.",0)),_xlfn.XLOOKUP("mastercard|"&amp;D$46&amp;"|capitalized_software_payments",'Actuals'!$K$6:$K$163,'Actuals'!$G$6:$G$163,"n.a.",0)="USD"),_xlfn.XLOOKUP("mastercard|"&amp;D$46&amp;"|capitalized_software_payments",'Actuals'!$K$6:$K$163,'Actuals'!$F$6:$F$163,"n.a.",0)/1000000,"n.a."),"n.a.")),"n.a.")</ns0:f>
        <ns0:v>1097</ns0:v>
      </ns0:c>
      <ns0:c r="E67" s="19" t="n">
        <ns0:f>IF(AND(ISNUMBER(IF(COUNTIFS('Actuals'!$K$6:$K$163,"mastercard|"&amp;E$46&amp;"|capital_payments_primary")=1,IF(AND(COUNTIFS('Actuals'!$K$6:$K$163,"mastercard|"&amp;E$46&amp;"|capital_payments_primary",'Actuals'!$F$6:$F$163,"&lt;&gt;")=1,ISNUMBER(_xlfn.XLOOKUP("mastercard|"&amp;E$46&amp;"|capital_payments_primary",'Actuals'!$K$6:$K$163,'Actuals'!$F$6:$F$163,"n.a.",0)),_xlfn.XLOOKUP("mastercard|"&amp;E$46&amp;"|capital_payments_primary",'Actuals'!$K$6:$K$163,'Actuals'!$G$6:$G$163,"n.a.",0)="USD"),_xlfn.XLOOKUP("mastercard|"&amp;E$46&amp;"|capital_payments_primary",'Actuals'!$K$6:$K$163,'Actuals'!$F$6:$F$163,"n.a.",0)/1000000,"n.a."),"n.a.")),ISNUMBER(IF(COUNTIFS('Actuals'!$K$6:$K$163,"mastercard|"&amp;E$46&amp;"|capitalized_software_payments")=1,IF(AND(COUNTIFS('Actuals'!$K$6:$K$163,"mastercard|"&amp;E$46&amp;"|capitalized_software_payments",'Actuals'!$F$6:$F$163,"&lt;&gt;")=1,ISNUMBER(_xlfn.XLOOKUP("mastercard|"&amp;E$46&amp;"|capitalized_software_payments",'Actuals'!$K$6:$K$163,'Actuals'!$F$6:$F$163,"n.a.",0)),_xlfn.XLOOKUP("mastercard|"&amp;E$46&amp;"|capitalized_software_payments",'Actuals'!$K$6:$K$163,'Actuals'!$G$6:$G$163,"n.a.",0)="USD"),_xlfn.XLOOKUP("mastercard|"&amp;E$46&amp;"|capitalized_software_payments",'Actuals'!$K$6:$K$163,'Actuals'!$F$6:$F$163,"n.a.",0)/1000000,"n.a."),"n.a."))),SUM(IF(COUNTIFS('Actuals'!$K$6:$K$163,"mastercard|"&amp;E$46&amp;"|capital_payments_primary")=1,IF(AND(COUNTIFS('Actuals'!$K$6:$K$163,"mastercard|"&amp;E$46&amp;"|capital_payments_primary",'Actuals'!$F$6:$F$163,"&lt;&gt;")=1,ISNUMBER(_xlfn.XLOOKUP("mastercard|"&amp;E$46&amp;"|capital_payments_primary",'Actuals'!$K$6:$K$163,'Actuals'!$F$6:$F$163,"n.a.",0)),_xlfn.XLOOKUP("mastercard|"&amp;E$46&amp;"|capital_payments_primary",'Actuals'!$K$6:$K$163,'Actuals'!$G$6:$G$163,"n.a.",0)="USD"),_xlfn.XLOOKUP("mastercard|"&amp;E$46&amp;"|capital_payments_primary",'Actuals'!$K$6:$K$163,'Actuals'!$F$6:$F$163,"n.a.",0)/1000000,"n.a."),"n.a."),IF(COUNTIFS('Actuals'!$K$6:$K$163,"mastercard|"&amp;E$46&amp;"|capitalized_software_payments")=1,IF(AND(COUNTIFS('Actuals'!$K$6:$K$163,"mastercard|"&amp;E$46&amp;"|capitalized_software_payments",'Actuals'!$F$6:$F$163,"&lt;&gt;")=1,ISNUMBER(_xlfn.XLOOKUP("mastercard|"&amp;E$46&amp;"|capitalized_software_payments",'Actuals'!$K$6:$K$163,'Actuals'!$F$6:$F$163,"n.a.",0)),_xlfn.XLOOKUP("mastercard|"&amp;E$46&amp;"|capitalized_software_payments",'Actuals'!$K$6:$K$163,'Actuals'!$G$6:$G$163,"n.a.",0)="USD"),_xlfn.XLOOKUP("mastercard|"&amp;E$46&amp;"|capitalized_software_payments",'Actuals'!$K$6:$K$163,'Actuals'!$F$6:$F$163,"n.a.",0)/1000000,"n.a."),"n.a.")),"n.a.")</ns0:f>
        <ns0:v>1088</ns0:v>
      </ns0:c>
      <ns0:c r="F67" s="19" t="n">
        <ns0:f>IF(AND(ISNUMBER(IF(COUNTIFS('Actuals'!$K$6:$K$163,"mastercard|"&amp;F$46&amp;"|capital_payments_primary")=1,IF(AND(COUNTIFS('Actuals'!$K$6:$K$163,"mastercard|"&amp;F$46&amp;"|capital_payments_primary",'Actuals'!$F$6:$F$163,"&lt;&gt;")=1,ISNUMBER(_xlfn.XLOOKUP("mastercard|"&amp;F$46&amp;"|capital_payments_primary",'Actuals'!$K$6:$K$163,'Actuals'!$F$6:$F$163,"n.a.",0)),_xlfn.XLOOKUP("mastercard|"&amp;F$46&amp;"|capital_payments_primary",'Actuals'!$K$6:$K$163,'Actuals'!$G$6:$G$163,"n.a.",0)="USD"),_xlfn.XLOOKUP("mastercard|"&amp;F$46&amp;"|capital_payments_primary",'Actuals'!$K$6:$K$163,'Actuals'!$F$6:$F$163,"n.a.",0)/1000000,"n.a."),"n.a.")),ISNUMBER(IF(COUNTIFS('Actuals'!$K$6:$K$163,"mastercard|"&amp;F$46&amp;"|capitalized_software_payments")=1,IF(AND(COUNTIFS('Actuals'!$K$6:$K$163,"mastercard|"&amp;F$46&amp;"|capitalized_software_payments",'Actuals'!$F$6:$F$163,"&lt;&gt;")=1,ISNUMBER(_xlfn.XLOOKUP("mastercard|"&amp;F$46&amp;"|capitalized_software_payments",'Actuals'!$K$6:$K$163,'Actuals'!$F$6:$F$163,"n.a.",0)),_xlfn.XLOOKUP("mastercard|"&amp;F$46&amp;"|capitalized_software_payments",'Actuals'!$K$6:$K$163,'Actuals'!$G$6:$G$163,"n.a.",0)="USD"),_xlfn.XLOOKUP("mastercard|"&amp;F$46&amp;"|capitalized_software_payments",'Actuals'!$K$6:$K$163,'Actuals'!$F$6:$F$163,"n.a.",0)/1000000,"n.a."),"n.a."))),SUM(IF(COUNTIFS('Actuals'!$K$6:$K$163,"mastercard|"&amp;F$46&amp;"|capital_payments_primary")=1,IF(AND(COUNTIFS('Actuals'!$K$6:$K$163,"mastercard|"&amp;F$46&amp;"|capital_payments_primary",'Actuals'!$F$6:$F$163,"&lt;&gt;")=1,ISNUMBER(_xlfn.XLOOKUP("mastercard|"&amp;F$46&amp;"|capital_payments_primary",'Actuals'!$K$6:$K$163,'Actuals'!$F$6:$F$163,"n.a.",0)),_xlfn.XLOOKUP("mastercard|"&amp;F$46&amp;"|capital_payments_primary",'Actuals'!$K$6:$K$163,'Actuals'!$G$6:$G$163,"n.a.",0)="USD"),_xlfn.XLOOKUP("mastercard|"&amp;F$46&amp;"|capital_payments_primary",'Actuals'!$K$6:$K$163,'Actuals'!$F$6:$F$163,"n.a.",0)/1000000,"n.a."),"n.a."),IF(COUNTIFS('Actuals'!$K$6:$K$163,"mastercard|"&amp;F$46&amp;"|capitalized_software_payments")=1,IF(AND(COUNTIFS('Actuals'!$K$6:$K$163,"mastercard|"&amp;F$46&amp;"|capitalized_software_payments",'Actuals'!$F$6:$F$163,"&lt;&gt;")=1,ISNUMBER(_xlfn.XLOOKUP("mastercard|"&amp;F$46&amp;"|capitalized_software_payments",'Actuals'!$K$6:$K$163,'Actuals'!$F$6:$F$163,"n.a.",0)),_xlfn.XLOOKUP("mastercard|"&amp;F$46&amp;"|capitalized_software_payments",'Actuals'!$K$6:$K$163,'Actuals'!$G$6:$G$163,"n.a.",0)="USD"),_xlfn.XLOOKUP("mastercard|"&amp;F$46&amp;"|capitalized_software_payments",'Actuals'!$K$6:$K$163,'Actuals'!$F$6:$F$163,"n.a.",0)/1000000,"n.a."),"n.a.")),"n.a.")</ns0:f>
        <ns0:v>1194</ns0:v>
      </ns0:c>
      <ns0:c r="G67" s="19" t="n">
        <ns0:f>IF(AND(ISNUMBER(IF(COUNTIFS('Actuals'!$K$6:$K$163,"mastercard|"&amp;G$46&amp;"|capital_payments_primary")=1,IF(AND(COUNTIFS('Actuals'!$K$6:$K$163,"mastercard|"&amp;G$46&amp;"|capital_payments_primary",'Actuals'!$F$6:$F$163,"&lt;&gt;")=1,ISNUMBER(_xlfn.XLOOKUP("mastercard|"&amp;G$46&amp;"|capital_payments_primary",'Actuals'!$K$6:$K$163,'Actuals'!$F$6:$F$163,"n.a.",0)),_xlfn.XLOOKUP("mastercard|"&amp;G$46&amp;"|capital_payments_primary",'Actuals'!$K$6:$K$163,'Actuals'!$G$6:$G$163,"n.a.",0)="USD"),_xlfn.XLOOKUP("mastercard|"&amp;G$46&amp;"|capital_payments_primary",'Actuals'!$K$6:$K$163,'Actuals'!$F$6:$F$163,"n.a.",0)/1000000,"n.a."),"n.a.")),ISNUMBER(IF(COUNTIFS('Actuals'!$K$6:$K$163,"mastercard|"&amp;G$46&amp;"|capitalized_software_payments")=1,IF(AND(COUNTIFS('Actuals'!$K$6:$K$163,"mastercard|"&amp;G$46&amp;"|capitalized_software_payments",'Actuals'!$F$6:$F$163,"&lt;&gt;")=1,ISNUMBER(_xlfn.XLOOKUP("mastercard|"&amp;G$46&amp;"|capitalized_software_payments",'Actuals'!$K$6:$K$163,'Actuals'!$F$6:$F$163,"n.a.",0)),_xlfn.XLOOKUP("mastercard|"&amp;G$46&amp;"|capitalized_software_payments",'Actuals'!$K$6:$K$163,'Actuals'!$G$6:$G$163,"n.a.",0)="USD"),_xlfn.XLOOKUP("mastercard|"&amp;G$46&amp;"|capitalized_software_payments",'Actuals'!$K$6:$K$163,'Actuals'!$F$6:$F$163,"n.a.",0)/1000000,"n.a."),"n.a."))),SUM(IF(COUNTIFS('Actuals'!$K$6:$K$163,"mastercard|"&amp;G$46&amp;"|capital_payments_primary")=1,IF(AND(COUNTIFS('Actuals'!$K$6:$K$163,"mastercard|"&amp;G$46&amp;"|capital_payments_primary",'Actuals'!$F$6:$F$163,"&lt;&gt;")=1,ISNUMBER(_xlfn.XLOOKUP("mastercard|"&amp;G$46&amp;"|capital_payments_primary",'Actuals'!$K$6:$K$163,'Actuals'!$F$6:$F$163,"n.a.",0)),_xlfn.XLOOKUP("mastercard|"&amp;G$46&amp;"|capital_payments_primary",'Actuals'!$K$6:$K$163,'Actuals'!$G$6:$G$163,"n.a.",0)="USD"),_xlfn.XLOOKUP("mastercard|"&amp;G$46&amp;"|capital_payments_primary",'Actuals'!$K$6:$K$163,'Actuals'!$F$6:$F$163,"n.a.",0)/1000000,"n.a."),"n.a."),IF(COUNTIFS('Actuals'!$K$6:$K$163,"mastercard|"&amp;G$46&amp;"|capitalized_software_payments")=1,IF(AND(COUNTIFS('Actuals'!$K$6:$K$163,"mastercard|"&amp;G$46&amp;"|capitalized_software_payments",'Actuals'!$F$6:$F$163,"&lt;&gt;")=1,ISNUMBER(_xlfn.XLOOKUP("mastercard|"&amp;G$46&amp;"|capitalized_software_payments",'Actuals'!$K$6:$K$163,'Actuals'!$F$6:$F$163,"n.a.",0)),_xlfn.XLOOKUP("mastercard|"&amp;G$46&amp;"|capitalized_software_payments",'Actuals'!$K$6:$K$163,'Actuals'!$G$6:$G$163,"n.a.",0)="USD"),_xlfn.XLOOKUP("mastercard|"&amp;G$46&amp;"|capitalized_software_payments",'Actuals'!$K$6:$K$163,'Actuals'!$F$6:$F$163,"n.a.",0)/1000000,"n.a."),"n.a.")),"n.a.")</ns0:f>
        <ns0:v>1215</ns0:v>
      </ns0:c>
      <ns0:c r="H67" s="2"/>
    </ns0:row>
    <ns0:row r="68" ht="23" customHeight="1">
      <ns0:c r="B68" s="2" t="str">
        <ns0:v>OCF less defined capital payments</ns0:v>
      </ns0:c>
      <ns0:c r="C68" s="19" t="n">
        <ns0:f>IF(AND(ISNUMBER(C54),ISNUMBER(C67)),C54-C67,"n.a.")</ns0:f>
        <ns0:v>8649</ns0:v>
      </ns0:c>
      <ns0:c r="D68" s="19" t="n">
        <ns0:f>IF(AND(ISNUMBER(D54),ISNUMBER(D67)),D54-D67,"n.a.")</ns0:f>
        <ns0:v>10098</ns0:v>
      </ns0:c>
      <ns0:c r="E68" s="19" t="n">
        <ns0:f>IF(AND(ISNUMBER(E54),ISNUMBER(E67)),E54-E67,"n.a.")</ns0:f>
        <ns0:v>10892</ns0:v>
      </ns0:c>
      <ns0:c r="F68" s="19" t="n">
        <ns0:f>IF(AND(ISNUMBER(F54),ISNUMBER(F67)),F54-F67,"n.a.")</ns0:f>
        <ns0:v>13586</ns0:v>
      </ns0:c>
      <ns0:c r="G68" s="19" t="n">
        <ns0:f>IF(AND(ISNUMBER(G54),ISNUMBER(G67)),G54-G67,"n.a.")</ns0:f>
        <ns0:v>16433</ns0:v>
      </ns0:c>
      <ns0:c r="H68" s="2"/>
    </ns0:row>
    <ns0:row r="69" ht="23" customHeight="1">
      <ns0:c r="B69" s="22" t="str">
        <ns0:v>FCF proxy / net revenue</ns0:v>
      </ns0:c>
      <ns0:c r="C69" s="26" t="n">
        <ns0:f>IF(AND(ISNUMBER(C68),ISNUMBER(C50),C50&gt;0),C68/C50,"n.a.")</ns0:f>
        <ns0:v>0.45800677822495234</ns0:v>
      </ns0:c>
      <ns0:c r="D69" s="26" t="n">
        <ns0:f>IF(AND(ISNUMBER(D68),ISNUMBER(D50),D50&gt;0),D68/D50,"n.a.")</ns0:f>
        <ns0:v>0.45410801816791835</ns0:v>
      </ns0:c>
      <ns0:c r="E69" s="26" t="n">
        <ns0:f>IF(AND(ISNUMBER(E68),ISNUMBER(E50),E50&gt;0),E68/E50,"n.a.")</ns0:f>
        <ns0:v>0.4339788030918798</ns0:v>
      </ns0:c>
      <ns0:c r="F69" s="26" t="n">
        <ns0:f>IF(AND(ISNUMBER(F68),ISNUMBER(F50),F50&gt;0),F68/F50,"n.a.")</ns0:f>
        <ns0:v>0.4823374871303298</ns0:v>
      </ns0:c>
      <ns0:c r="G69" s="26" t="n">
        <ns0:f>IF(AND(ISNUMBER(G68),ISNUMBER(G50),G50&gt;0),G68/G50,"n.a.")</ns0:f>
        <ns0:v>0.5011436064773871</ns0:v>
      </ns0:c>
      <ns0:c r="H69" s="2"/>
    </ns0:row>
    <ns0:row r="70" ht="23" customHeight="1">
      <ns0:c r="B70" s="2" t="str">
        <ns0:v>Selected debt carrying total</ns0:v>
      </ns0:c>
      <ns0:c r="C70" s="28" t="n">
        <ns0:f>IF(AND(ISNUMBER(C56),ISNUMBER(C57)),SUM(C56,C57),"n.a.")</ns0:f>
        <ns0:v>13901</ns0:v>
      </ns0:c>
      <ns0:c r="D70" s="28" t="n">
        <ns0:f>IF(AND(ISNUMBER(D56),ISNUMBER(D57)),SUM(D56,D57),"n.a.")</ns0:f>
        <ns0:v>14023</ns0:v>
      </ns0:c>
      <ns0:c r="E70" s="28" t="n">
        <ns0:f>IF(AND(ISNUMBER(E56),ISNUMBER(E57)),SUM(E56,E57),"n.a.")</ns0:f>
        <ns0:v>15681</ns0:v>
      </ns0:c>
      <ns0:c r="F70" s="28" t="n">
        <ns0:f>IF(AND(ISNUMBER(F56),ISNUMBER(F57)),SUM(F56,F57),"n.a.")</ns0:f>
        <ns0:v>18226</ns0:v>
      </ns0:c>
      <ns0:c r="G70" s="28" t="n">
        <ns0:f>IF(AND(ISNUMBER(G56),ISNUMBER(G57)),SUM(G56,G57),"n.a.")</ns0:f>
        <ns0:v>19000</ns0:v>
      </ns0:c>
      <ns0:c r="H70" s="2"/>
    </ns0:row>
    <ns0:row r="71" ht="23" customHeight="1">
      <ns0:c r="B71" s="2" t="str">
        <ns0:v>Selected debt less cash proxy</ns0:v>
      </ns0:c>
      <ns0:c r="C71" s="28" t="n">
        <ns0:f>IF(AND(ISNUMBER(C70),ISNUMBER(C55)),C70-C55,"n.a.")</ns0:f>
        <ns0:v>6480</ns0:v>
      </ns0:c>
      <ns0:c r="D71" s="28" t="n">
        <ns0:f>IF(AND(ISNUMBER(D70),ISNUMBER(D55)),D70-D55,"n.a.")</ns0:f>
        <ns0:v>7015</ns0:v>
      </ns0:c>
      <ns0:c r="E71" s="28" t="n">
        <ns0:f>IF(AND(ISNUMBER(E70),ISNUMBER(E55)),E70-E55,"n.a.")</ns0:f>
        <ns0:v>7093</ns0:v>
      </ns0:c>
      <ns0:c r="F71" s="28" t="n">
        <ns0:f>IF(AND(ISNUMBER(F70),ISNUMBER(F55)),F70-F55,"n.a.")</ns0:f>
        <ns0:v>9784</ns0:v>
      </ns0:c>
      <ns0:c r="G71" s="28" t="n">
        <ns0:f>IF(AND(ISNUMBER(G70),ISNUMBER(G55)),G70-G55,"n.a.")</ns0:f>
        <ns0:v>8434</ns0:v>
      </ns0:c>
      <ns0:c r="H71" s="2"/>
    </ns0:row>
    <ns0:row r="72" ht="23" customHeight="1">
      <ns0:c r="B72" s="22" t="str">
        <ns0:v>Selected debt / total assets</ns0:v>
      </ns0:c>
      <ns0:c r="C72" s="21" t="n">
        <ns0:f>IF(AND(ISNUMBER(C70),ISNUMBER(C58),C58&gt;0),C70/C58,"n.a.")</ns0:f>
        <ns0:v>0.3690302370649606</ns0:v>
      </ns0:c>
      <ns0:c r="D72" s="21" t="n">
        <ns0:f>IF(AND(ISNUMBER(D70),ISNUMBER(D58),D58&gt;0),D70/D58,"n.a.")</ns0:f>
        <ns0:v>0.3621268464001653</ns0:v>
      </ns0:c>
      <ns0:c r="E72" s="21" t="n">
        <ns0:f>IF(AND(ISNUMBER(E70),ISNUMBER(E58),E58&gt;0),E70/E58,"n.a.")</ns0:f>
        <ns0:v>0.36941669807764793</ns0:v>
      </ns0:c>
      <ns0:c r="F72" s="21" t="n">
        <ns0:f>IF(AND(ISNUMBER(F70),ISNUMBER(F58),F58&gt;0),F70/F58,"n.a.")</ns0:f>
        <ns0:v>0.37906865497805786</ns0:v>
      </ns0:c>
      <ns0:c r="G72" s="21" t="n">
        <ns0:f>IF(AND(ISNUMBER(G70),ISNUMBER(G58),G58&gt;0),G70/G58,"n.a.")</ns0:f>
        <ns0:v>0.350831840759274</ns0:v>
      </ns0:c>
      <ns0:c r="H72" s="2"/>
    </ns0:row>
    <ns0:row r="73" ht="23" customHeight="1">
      <ns0:c r="B73" s="22" t="str">
        <ns0:v>Total liabilities / total assets</ns0:v>
      </ns0:c>
      <ns0:c r="C73" s="21" t="n">
        <ns0:f>IF(AND(ISNUMBER(C59),ISNUMBER(C58),C58&gt;0),C59/C58,"n.a.")</ns0:f>
        <ns0:v>0.8032334280177335</ns0:v>
      </ns0:c>
      <ns0:c r="D73" s="21" t="n">
        <ns0:f>IF(AND(ISNUMBER(D59),ISNUMBER(D58),D58&gt;0),D59/D58,"n.a.")</ns0:f>
        <ns0:v>0.8353217642805495</ns0:v>
      </ns0:c>
      <ns0:c r="E73" s="21" t="n">
        <ns0:f>IF(AND(ISNUMBER(E59),ISNUMBER(E58),E58&gt;0),E59/E58,"n.a.")</ns0:f>
        <ns0:v>0.8351630229928383</ns0:v>
      </ns0:c>
      <ns0:c r="F73" s="21" t="n">
        <ns0:f>IF(AND(ISNUMBER(F59),ISNUMBER(F58),F58&gt;0),F59/F58,"n.a.")</ns0:f>
        <ns0:v>0.8644994904432104</ns0:v>
      </ns0:c>
      <ns0:c r="G73" s="21" t="n">
        <ns0:f>IF(AND(ISNUMBER(G59),ISNUMBER(G58),G58&gt;0),G59/G58,"n.a.")</ns0:f>
        <ns0:v>0.8569713979725613</ns0:v>
      </ns0:c>
      <ns0:c r="H73" s="2"/>
    </ns0:row>
    <ns0:row r="74" ht="23" customHeight="1">
      <ns0:c r="B74" s="22" t="str">
        <ns0:v>Cash equivalents / selected debt</ns0:v>
      </ns0:c>
      <ns0:c r="C74" s="23" t="n">
        <ns0:f>IF(AND(ISNUMBER(C55),ISNUMBER(C70),C70&gt;0),C55/C70,"n.a.")</ns0:f>
        <ns0:v>0.5338464858643263</ns0:v>
      </ns0:c>
      <ns0:c r="D74" s="23" t="n">
        <ns0:f>IF(AND(ISNUMBER(D55),ISNUMBER(D70),D70&gt;0),D55/D70,"n.a.")</ns0:f>
        <ns0:v>0.4997504100406475</ns0:v>
      </ns0:c>
      <ns0:c r="E74" s="23" t="n">
        <ns0:f>IF(AND(ISNUMBER(E55),ISNUMBER(E70),E70&gt;0),E55/E70,"n.a.")</ns0:f>
        <ns0:v>0.5476691537529494</ns0:v>
      </ns0:c>
      <ns0:c r="F74" s="23" t="n">
        <ns0:f>IF(AND(ISNUMBER(F55),ISNUMBER(F70),F70&gt;0),F55/F70,"n.a.")</ns0:f>
        <ns0:v>0.4631844617579282</ns0:v>
      </ns0:c>
      <ns0:c r="G74" s="23" t="n">
        <ns0:f>IF(AND(ISNUMBER(G55),ISNUMBER(G70),G70&gt;0),G55/G70,"n.a.")</ns0:f>
        <ns0:v>0.5561052631578948</ns0:v>
      </ns0:c>
      <ns0:c r="H74" s="2"/>
    </ns0:row>
    <ns0:row r="75" ht="23" customHeight="1">
      <ns0:c r="B75" s="2"/>
      <ns0:c r="C75" s="2"/>
      <ns0:c r="D75" s="2"/>
      <ns0:c r="E75" s="2"/>
      <ns0:c r="F75" s="2"/>
      <ns0:c r="G75" s="2"/>
      <ns0:c r="H75" s="2"/>
    </ns0:row>
    <ns0:row r="76" ht="23" customHeight="1">
      <ns0:c r="B76" s="2" t="str">
        <ns0:v>FCF proxy: OCF less defined capital payments.</ns0:v>
      </ns0:c>
      <ns0:c r="C76" s="2"/>
      <ns0:c r="D76" s="2"/>
      <ns0:c r="E76" s="2"/>
      <ns0:c r="F76" s="2"/>
      <ns0:c r="G76" s="2"/>
      <ns0:c r="H76" s="2"/>
    </ns0:row>
    <ns0:row r="77" ht="23" customHeight="1">
      <ns0:c r="B77" s="2" t="str">
        <ns0:v>Visa: equipment/technology; Mastercard: PPE plus software.</ns0:v>
      </ns0:c>
      <ns0:c r="C77" s="2"/>
      <ns0:c r="D77" s="2"/>
      <ns0:c r="E77" s="2"/>
      <ns0:c r="F77" s="2"/>
      <ns0:c r="G77" s="2"/>
      <ns0:c r="H77" s="2"/>
    </ns0:row>
    <ns0:row r="78" ht="23" customHeight="1">
      <ns0:c r="B78" s="2"/>
      <ns0:c r="C78" s="2"/>
      <ns0:c r="D78" s="2"/>
      <ns0:c r="E78" s="2"/>
      <ns0:c r="F78" s="2"/>
      <ns0:c r="G78" s="2"/>
      <ns0:c r="H78" s="2"/>
    </ns0:row>
    <ns0:row r="79" ht="23" customHeight="1">
      <ns0:c r="B79" s="2" t="str">
        <ns0:v>Cash/debt uses selected carrying debt; not maturity coverage.</ns0:v>
      </ns0:c>
      <ns0:c r="C79" s="2"/>
      <ns0:c r="D79" s="2"/>
      <ns0:c r="E79" s="2"/>
      <ns0:c r="F79" s="2"/>
      <ns0:c r="G79" s="2"/>
      <ns0:c r="H79" s="2"/>
    </ns0:row>
    <ns0:row r="80" ht="23" customHeight="1">
      <ns0:c r="B80" s="2"/>
      <ns0:c r="C80" s="2"/>
      <ns0:c r="D80" s="2"/>
      <ns0:c r="E80" s="2"/>
      <ns0:c r="F80" s="2"/>
      <ns0:c r="G80" s="2"/>
      <ns0:c r="H80" s="2"/>
    </ns0:row>
    <ns0:row r="81" ht="23" customHeight="1">
      <ns0:c r="B81" s="2" t="inlineStr">
        <ns0:is>
          <ns0:t>Industry: 30 verified values in the Industry sheet. Six FY2021 changes have no verified FY2020 base.</ns0:t>
        </ns0:is>
      </ns0:c>
      <ns0:c r="C81" s="2"/>
      <ns0:c r="D81" s="2"/>
      <ns0:c r="E81" s="2"/>
      <ns0:c r="F81" s="2"/>
      <ns0:c r="G81" s="2"/>
      <ns0:c r="H81" s="2"/>
    </ns0:row>
    <ns0:row r="82" ht="23" customHeight="1">
      <ns0:c r="B82" s="2"/>
      <ns0:c r="C82" s="2"/>
      <ns0:c r="D82" s="2"/>
      <ns0:c r="E82" s="2"/>
      <ns0:c r="F82" s="2"/>
      <ns0:c r="G82" s="2"/>
      <ns0:c r="H82" s="2"/>
    </ns0:row>
    <ns0:row r="83" ht="23" customHeight="1">
      <ns0:c r="B83" s="2" t="str">
        <ns0:v>Reported margins include disclosed legal/tax effects; no normalization.</ns0:v>
      </ns0:c>
      <ns0:c r="C83" s="2"/>
      <ns0:c r="D83" s="2"/>
      <ns0:c r="E83" s="2"/>
      <ns0:c r="F83" s="2"/>
      <ns0:c r="G83" s="2"/>
      <ns0:c r="H83" s="2"/>
    </ns0:row>
    <ns0:row r="84" ht="23" customHeight="1">
      <ns0:c r="B84" s="2"/>
      <ns0:c r="C84" s="2"/>
      <ns0:c r="D84" s="2"/>
      <ns0:c r="E84" s="2"/>
      <ns0:c r="F84" s="2"/>
      <ns0:c r="G84" s="2"/>
      <ns0:c r="H84" s="2"/>
    </ns0:row>
  </ns0:sheetData>
  <ns0:pageMargins left="0.7" right="0.7" top="0.75" bottom="0.75" header="0.3" footer="0.3"/>
</ns0:worksheet>
</file>

<file path=xl/worksheets/sheet3.xml><?xml version="1.0" encoding="utf-8"?>
<x:worksheet xmlns:x="http://schemas.openxmlformats.org/spreadsheetml/2006/main">
  <x:sheetPr>
    <x:tabColor rgb="FFE7D7B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0" hidden="0" customWidth="1"/>
    <x:col min="3" max="3" width="39" hidden="0" customWidth="1"/>
    <x:col min="4" max="4" width="15" hidden="0" customWidth="1"/>
    <x:col min="5" max="5" width="15" hidden="0" customWidth="1"/>
    <x:col min="6" max="6" width="22" hidden="0" customWidth="1"/>
    <x:col min="7" max="7" width="9" hidden="0" customWidth="1"/>
    <x:col min="8" max="8" width="12" hidden="0" customWidth="1"/>
    <x:col min="9" max="9" width="29" hidden="0" customWidth="1"/>
    <x:col min="10" max="10" width="69" hidden="0" customWidth="1"/>
    <x:col min="11" max="11" width="53" hidden="0" customWidth="1"/>
    <x:col min="12" max="12" width="3" hidden="0" customWidth="1"/>
    <x:col min="13" max="13" width="130" hidden="0" customWidth="1"/>
    <x:col min="14" max="14" width="3" hidden="0" customWidth="1"/>
  </x:cols>
  <x:sheetData>
    <x:row r="1" ht="23" customHeight="1">
      <x:c r="A1" s="3" t="str">
        <x:v>Reviewed statement inputs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2" t="str">
        <x:v>Amounts in original USD. Source reporting units were normalized before this workbook.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Frozen FY2021–2025 evidence. Edit only the amber assumptions on Scenario.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7" customHeight="1">
      <x:c r="A5" s="6" t="str">
        <x:v>Company</x:v>
      </x:c>
      <x:c r="B5" s="6" t="str">
        <x:v>Fiscal year</x:v>
      </x:c>
      <x:c r="C5" s="6" t="str">
        <x:v>Item</x:v>
      </x:c>
      <x:c r="D5" s="6" t="str">
        <x:v>Period start</x:v>
      </x:c>
      <x:c r="E5" s="6" t="str">
        <x:v>Period end</x:v>
      </x:c>
      <x:c r="F5" s="6" t="str">
        <x:v>Amount (USD)</x:v>
      </x:c>
      <x:c r="G5" s="6" t="str">
        <x:v>Unit</x:v>
      </x:c>
      <x:c r="H5" s="6" t="str">
        <x:v>IR PDF page</x:v>
      </x:c>
      <x:c r="I5" s="6" t="str">
        <x:v>Filing accession</x:v>
      </x:c>
      <x:c r="J5" s="6" t="str">
        <x:v>Original source</x:v>
      </x:c>
      <x:c r="K5" s="6" t="str">
        <x:v>Lookup key</x:v>
      </x:c>
      <x:c r="L5" s="2"/>
      <x:c r="M5" s="6" t="str">
        <x:v>Original PDF URL</x:v>
      </x:c>
      <x:c r="N5" s="2"/>
    </x:row>
    <x:row r="6" ht="23" customHeight="1">
      <x:c r="A6" s="2" t="str">
        <x:v>visa</x:v>
      </x:c>
      <x:c r="B6" s="2" t="n">
        <x:v>2021</x:v>
      </x:c>
      <x:c r="C6" s="2" t="str">
        <x:v>net_revenue</x:v>
      </x:c>
      <x:c r="D6" s="7" t="d">
        <x:v>2020-10-01T00:00:00.000Z</x:v>
      </x:c>
      <x:c r="E6" s="7" t="d">
        <x:v>2021-09-30T00:00:00.000Z</x:v>
      </x:c>
      <x:c r="F6" s="10" t="n">
        <x:v>24105000000</x:v>
      </x:c>
      <x:c r="G6" s="2" t="str">
        <x:v>USD</x:v>
      </x:c>
      <x:c r="H6" s="2" t="n">
        <x:v>67</x:v>
      </x:c>
      <x:c r="I6" s="2" t="str">
        <x:v>0001403161-23-000099</x:v>
      </x:c>
      <x:c r="J6" s="2" t="str">
        <x:v>Visa FY2023 annual report, PDF p67</x:v>
      </x:c>
      <x:c r="K6" s="2" t="str">
        <x:f>A6&amp;"|"&amp;B6&amp;"|"&amp;C6</x:f>
        <x:v>visa|2021|net_revenue</x:v>
      </x:c>
      <x:c r="L6" s="2"/>
      <x:c r="M6" s="2" t="str">
        <x:f>_xlfn.XLOOKUP(I6,$I$169:$I$174,$M$169:$M$174,"n.a.",0)</x:f>
        <x:v>https://s29.q4cdn.com/385744025/files/doc_downloads/2023/Visa-Inc-Fiscal-2023-Annual-Report.pdf</x:v>
      </x:c>
      <x:c r="N6" s="2"/>
    </x:row>
    <x:row r="7" ht="23" customHeight="1">
      <x:c r="A7" s="2" t="str">
        <x:v>visa</x:v>
      </x:c>
      <x:c r="B7" s="2" t="n">
        <x:v>2021</x:v>
      </x:c>
      <x:c r="C7" s="2" t="str">
        <x:v>operating_expenses</x:v>
      </x:c>
      <x:c r="D7" s="7" t="d">
        <x:v>2020-10-01T00:00:00.000Z</x:v>
      </x:c>
      <x:c r="E7" s="7" t="d">
        <x:v>2021-09-30T00:00:00.000Z</x:v>
      </x:c>
      <x:c r="F7" s="10" t="n">
        <x:v>8301000000</x:v>
      </x:c>
      <x:c r="G7" s="2" t="str">
        <x:v>USD</x:v>
      </x:c>
      <x:c r="H7" s="2" t="n">
        <x:v>67</x:v>
      </x:c>
      <x:c r="I7" s="2" t="str">
        <x:v>0001403161-23-000099</x:v>
      </x:c>
      <x:c r="J7" s="2" t="str">
        <x:v>Visa FY2023 annual report, PDF p67</x:v>
      </x:c>
      <x:c r="K7" s="2" t="str">
        <x:f>A7&amp;"|"&amp;B7&amp;"|"&amp;C7</x:f>
        <x:v>visa|2021|operating_expenses</x:v>
      </x:c>
      <x:c r="L7" s="2"/>
      <x:c r="M7" s="2" t="str">
        <x:f>_xlfn.XLOOKUP(I7,$I$169:$I$174,$M$169:$M$174,"n.a.",0)</x:f>
        <x:v>https://s29.q4cdn.com/385744025/files/doc_downloads/2023/Visa-Inc-Fiscal-2023-Annual-Report.pdf</x:v>
      </x:c>
      <x:c r="N7" s="2"/>
    </x:row>
    <x:row r="8" ht="23" customHeight="1">
      <x:c r="A8" s="2" t="str">
        <x:v>visa</x:v>
      </x:c>
      <x:c r="B8" s="2" t="n">
        <x:v>2021</x:v>
      </x:c>
      <x:c r="C8" s="2" t="str">
        <x:v>operating_income</x:v>
      </x:c>
      <x:c r="D8" s="7" t="d">
        <x:v>2020-10-01T00:00:00.000Z</x:v>
      </x:c>
      <x:c r="E8" s="7" t="d">
        <x:v>2021-09-30T00:00:00.000Z</x:v>
      </x:c>
      <x:c r="F8" s="10" t="n">
        <x:v>15804000000</x:v>
      </x:c>
      <x:c r="G8" s="2" t="str">
        <x:v>USD</x:v>
      </x:c>
      <x:c r="H8" s="2" t="n">
        <x:v>67</x:v>
      </x:c>
      <x:c r="I8" s="2" t="str">
        <x:v>0001403161-23-000099</x:v>
      </x:c>
      <x:c r="J8" s="2" t="str">
        <x:v>Visa FY2023 annual report, PDF p67</x:v>
      </x:c>
      <x:c r="K8" s="2" t="str">
        <x:f>A8&amp;"|"&amp;B8&amp;"|"&amp;C8</x:f>
        <x:v>visa|2021|operating_income</x:v>
      </x:c>
      <x:c r="L8" s="2"/>
      <x:c r="M8" s="2" t="str">
        <x:f>_xlfn.XLOOKUP(I8,$I$169:$I$174,$M$169:$M$174,"n.a.",0)</x:f>
        <x:v>https://s29.q4cdn.com/385744025/files/doc_downloads/2023/Visa-Inc-Fiscal-2023-Annual-Report.pdf</x:v>
      </x:c>
      <x:c r="N8" s="2"/>
    </x:row>
    <x:row r="9" ht="23" customHeight="1">
      <x:c r="A9" s="2" t="str">
        <x:v>visa</x:v>
      </x:c>
      <x:c r="B9" s="2" t="n">
        <x:v>2021</x:v>
      </x:c>
      <x:c r="C9" s="2" t="str">
        <x:v>pretax_income</x:v>
      </x:c>
      <x:c r="D9" s="7" t="d">
        <x:v>2020-10-01T00:00:00.000Z</x:v>
      </x:c>
      <x:c r="E9" s="7" t="d">
        <x:v>2021-09-30T00:00:00.000Z</x:v>
      </x:c>
      <x:c r="F9" s="10" t="n">
        <x:v>16063000000</x:v>
      </x:c>
      <x:c r="G9" s="2" t="str">
        <x:v>USD</x:v>
      </x:c>
      <x:c r="H9" s="2" t="n">
        <x:v>67</x:v>
      </x:c>
      <x:c r="I9" s="2" t="str">
        <x:v>0001403161-23-000099</x:v>
      </x:c>
      <x:c r="J9" s="2" t="str">
        <x:v>Visa FY2023 annual report, PDF p67</x:v>
      </x:c>
      <x:c r="K9" s="2" t="str">
        <x:f>A9&amp;"|"&amp;B9&amp;"|"&amp;C9</x:f>
        <x:v>visa|2021|pretax_income</x:v>
      </x:c>
      <x:c r="L9" s="2"/>
      <x:c r="M9" s="2" t="str">
        <x:f>_xlfn.XLOOKUP(I9,$I$169:$I$174,$M$169:$M$174,"n.a.",0)</x:f>
        <x:v>https://s29.q4cdn.com/385744025/files/doc_downloads/2023/Visa-Inc-Fiscal-2023-Annual-Report.pdf</x:v>
      </x:c>
      <x:c r="N9" s="2"/>
    </x:row>
    <x:row r="10" ht="23" customHeight="1">
      <x:c r="A10" s="2" t="str">
        <x:v>visa</x:v>
      </x:c>
      <x:c r="B10" s="2" t="n">
        <x:v>2021</x:v>
      </x:c>
      <x:c r="C10" s="2" t="str">
        <x:v>income_tax</x:v>
      </x:c>
      <x:c r="D10" s="7" t="d">
        <x:v>2020-10-01T00:00:00.000Z</x:v>
      </x:c>
      <x:c r="E10" s="7" t="d">
        <x:v>2021-09-30T00:00:00.000Z</x:v>
      </x:c>
      <x:c r="F10" s="10" t="n">
        <x:v>3752000000</x:v>
      </x:c>
      <x:c r="G10" s="2" t="str">
        <x:v>USD</x:v>
      </x:c>
      <x:c r="H10" s="2" t="n">
        <x:v>67</x:v>
      </x:c>
      <x:c r="I10" s="2" t="str">
        <x:v>0001403161-23-000099</x:v>
      </x:c>
      <x:c r="J10" s="2" t="str">
        <x:v>Visa FY2023 annual report, PDF p67</x:v>
      </x:c>
      <x:c r="K10" s="2" t="str">
        <x:f>A10&amp;"|"&amp;B10&amp;"|"&amp;C10</x:f>
        <x:v>visa|2021|income_tax</x:v>
      </x:c>
      <x:c r="L10" s="2"/>
      <x:c r="M10" s="2" t="str">
        <x:f>_xlfn.XLOOKUP(I10,$I$169:$I$174,$M$169:$M$174,"n.a.",0)</x:f>
        <x:v>https://s29.q4cdn.com/385744025/files/doc_downloads/2023/Visa-Inc-Fiscal-2023-Annual-Report.pdf</x:v>
      </x:c>
      <x:c r="N10" s="2"/>
    </x:row>
    <x:row r="11" ht="23" customHeight="1">
      <x:c r="A11" s="2" t="str">
        <x:v>visa</x:v>
      </x:c>
      <x:c r="B11" s="2" t="n">
        <x:v>2021</x:v>
      </x:c>
      <x:c r="C11" s="2" t="str">
        <x:v>net_income</x:v>
      </x:c>
      <x:c r="D11" s="7" t="d">
        <x:v>2020-10-01T00:00:00.000Z</x:v>
      </x:c>
      <x:c r="E11" s="7" t="d">
        <x:v>2021-09-30T00:00:00.000Z</x:v>
      </x:c>
      <x:c r="F11" s="10" t="n">
        <x:v>12311000000</x:v>
      </x:c>
      <x:c r="G11" s="2" t="str">
        <x:v>USD</x:v>
      </x:c>
      <x:c r="H11" s="2" t="n">
        <x:v>67</x:v>
      </x:c>
      <x:c r="I11" s="2" t="str">
        <x:v>0001403161-23-000099</x:v>
      </x:c>
      <x:c r="J11" s="2" t="str">
        <x:v>Visa FY2023 annual report, PDF p67</x:v>
      </x:c>
      <x:c r="K11" s="2" t="str">
        <x:f>A11&amp;"|"&amp;B11&amp;"|"&amp;C11</x:f>
        <x:v>visa|2021|net_income</x:v>
      </x:c>
      <x:c r="L11" s="2"/>
      <x:c r="M11" s="2" t="str">
        <x:f>_xlfn.XLOOKUP(I11,$I$169:$I$174,$M$169:$M$174,"n.a.",0)</x:f>
        <x:v>https://s29.q4cdn.com/385744025/files/doc_downloads/2023/Visa-Inc-Fiscal-2023-Annual-Report.pdf</x:v>
      </x:c>
      <x:c r="N11" s="2"/>
    </x:row>
    <x:row r="12" ht="23" customHeight="1">
      <x:c r="A12" s="2" t="str">
        <x:v>visa</x:v>
      </x:c>
      <x:c r="B12" s="2" t="n">
        <x:v>2021</x:v>
      </x:c>
      <x:c r="C12" s="2" t="str">
        <x:v>operating_cash_flow</x:v>
      </x:c>
      <x:c r="D12" s="7" t="d">
        <x:v>2020-10-01T00:00:00.000Z</x:v>
      </x:c>
      <x:c r="E12" s="7" t="d">
        <x:v>2021-09-30T00:00:00.000Z</x:v>
      </x:c>
      <x:c r="F12" s="10" t="n">
        <x:v>15227000000</x:v>
      </x:c>
      <x:c r="G12" s="2" t="str">
        <x:v>USD</x:v>
      </x:c>
      <x:c r="H12" s="2" t="n">
        <x:v>72</x:v>
      </x:c>
      <x:c r="I12" s="2" t="str">
        <x:v>0001403161-23-000099</x:v>
      </x:c>
      <x:c r="J12" s="2" t="str">
        <x:v>Visa FY2023 annual report, PDF p72</x:v>
      </x:c>
      <x:c r="K12" s="2" t="str">
        <x:f>A12&amp;"|"&amp;B12&amp;"|"&amp;C12</x:f>
        <x:v>visa|2021|operating_cash_flow</x:v>
      </x:c>
      <x:c r="L12" s="2"/>
      <x:c r="M12" s="2" t="str">
        <x:f>_xlfn.XLOOKUP(I12,$I$169:$I$174,$M$169:$M$174,"n.a.",0)</x:f>
        <x:v>https://s29.q4cdn.com/385744025/files/doc_downloads/2023/Visa-Inc-Fiscal-2023-Annual-Report.pdf</x:v>
      </x:c>
      <x:c r="N12" s="2"/>
    </x:row>
    <x:row r="13" ht="23" customHeight="1">
      <x:c r="A13" s="2" t="str">
        <x:v>visa</x:v>
      </x:c>
      <x:c r="B13" s="2" t="n">
        <x:v>2021</x:v>
      </x:c>
      <x:c r="C13" s="2" t="str">
        <x:v>capital_payments_primary</x:v>
      </x:c>
      <x:c r="D13" s="7" t="d">
        <x:v>2020-10-01T00:00:00.000Z</x:v>
      </x:c>
      <x:c r="E13" s="7" t="d">
        <x:v>2021-09-30T00:00:00.000Z</x:v>
      </x:c>
      <x:c r="F13" s="10" t="n">
        <x:v>705000000</x:v>
      </x:c>
      <x:c r="G13" s="2" t="str">
        <x:v>USD</x:v>
      </x:c>
      <x:c r="H13" s="2" t="n">
        <x:v>72</x:v>
      </x:c>
      <x:c r="I13" s="2" t="str">
        <x:v>0001403161-23-000099</x:v>
      </x:c>
      <x:c r="J13" s="2" t="str">
        <x:v>Visa FY2023 annual report, PDF p72</x:v>
      </x:c>
      <x:c r="K13" s="2" t="str">
        <x:f>A13&amp;"|"&amp;B13&amp;"|"&amp;C13</x:f>
        <x:v>visa|2021|capital_payments_primary</x:v>
      </x:c>
      <x:c r="L13" s="2"/>
      <x:c r="M13" s="2" t="str">
        <x:f>_xlfn.XLOOKUP(I13,$I$169:$I$174,$M$169:$M$174,"n.a.",0)</x:f>
        <x:v>https://s29.q4cdn.com/385744025/files/doc_downloads/2023/Visa-Inc-Fiscal-2023-Annual-Report.pdf</x:v>
      </x:c>
      <x:c r="N13" s="2"/>
    </x:row>
    <x:row r="14" ht="23" customHeight="1">
      <x:c r="A14" s="2" t="str">
        <x:v>visa</x:v>
      </x:c>
      <x:c r="B14" s="2" t="n">
        <x:v>2021</x:v>
      </x:c>
      <x:c r="C14" s="2" t="str">
        <x:v>cash_and_cash_equivalents</x:v>
      </x:c>
      <x:c r="D14" s="7"/>
      <x:c r="E14" s="7" t="d">
        <x:v>2021-09-30T00:00:00.000Z</x:v>
      </x:c>
      <x:c r="F14" s="10" t="n">
        <x:v>16487000000</x:v>
      </x:c>
      <x:c r="G14" s="2" t="str">
        <x:v>USD</x:v>
      </x:c>
      <x:c r="H14" s="2" t="n">
        <x:v>66</x:v>
      </x:c>
      <x:c r="I14" s="2" t="str">
        <x:v>0001403161-21-000060</x:v>
      </x:c>
      <x:c r="J14" s="2" t="str">
        <x:v>Visa FY2021 annual report, PDF p66</x:v>
      </x:c>
      <x:c r="K14" s="2" t="str">
        <x:f>A14&amp;"|"&amp;B14&amp;"|"&amp;C14</x:f>
        <x:v>visa|2021|cash_and_cash_equivalents</x:v>
      </x:c>
      <x:c r="L14" s="2"/>
      <x:c r="M14" s="2" t="str">
        <x:f>_xlfn.XLOOKUP(I14,$I$169:$I$174,$M$169:$M$174,"n.a.",0)</x:f>
        <x:v>https://s29.q4cdn.com/385744025/files/doc_downloads/Visa-Inc_-Fiscal-2021-Annual-Report.pdf</x:v>
      </x:c>
      <x:c r="N14" s="2"/>
    </x:row>
    <x:row r="15" ht="23" customHeight="1">
      <x:c r="A15" s="2" t="str">
        <x:v>visa</x:v>
      </x:c>
      <x:c r="B15" s="2" t="n">
        <x:v>2021</x:v>
      </x:c>
      <x:c r="C15" s="2" t="str">
        <x:v>current_debt</x:v>
      </x:c>
      <x:c r="D15" s="7"/>
      <x:c r="E15" s="7" t="d">
        <x:v>2021-09-30T00:00:00.000Z</x:v>
      </x:c>
      <x:c r="F15" s="10" t="n">
        <x:v>999000000</x:v>
      </x:c>
      <x:c r="G15" s="2" t="str">
        <x:v>USD</x:v>
      </x:c>
      <x:c r="H15" s="2" t="n">
        <x:v>66</x:v>
      </x:c>
      <x:c r="I15" s="2" t="str">
        <x:v>0001403161-21-000060</x:v>
      </x:c>
      <x:c r="J15" s="2" t="str">
        <x:v>Visa FY2021 annual report, PDF p66</x:v>
      </x:c>
      <x:c r="K15" s="2" t="str">
        <x:f>A15&amp;"|"&amp;B15&amp;"|"&amp;C15</x:f>
        <x:v>visa|2021|current_debt</x:v>
      </x:c>
      <x:c r="L15" s="2"/>
      <x:c r="M15" s="2" t="str">
        <x:f>_xlfn.XLOOKUP(I15,$I$169:$I$174,$M$169:$M$174,"n.a.",0)</x:f>
        <x:v>https://s29.q4cdn.com/385744025/files/doc_downloads/Visa-Inc_-Fiscal-2021-Annual-Report.pdf</x:v>
      </x:c>
      <x:c r="N15" s="2"/>
    </x:row>
    <x:row r="16" ht="23" customHeight="1">
      <x:c r="A16" s="2" t="str">
        <x:v>visa</x:v>
      </x:c>
      <x:c r="B16" s="2" t="n">
        <x:v>2021</x:v>
      </x:c>
      <x:c r="C16" s="2" t="str">
        <x:v>noncurrent_debt</x:v>
      </x:c>
      <x:c r="D16" s="7"/>
      <x:c r="E16" s="7" t="d">
        <x:v>2021-09-30T00:00:00.000Z</x:v>
      </x:c>
      <x:c r="F16" s="10" t="n">
        <x:v>19978000000</x:v>
      </x:c>
      <x:c r="G16" s="2" t="str">
        <x:v>USD</x:v>
      </x:c>
      <x:c r="H16" s="2" t="n">
        <x:v>66</x:v>
      </x:c>
      <x:c r="I16" s="2" t="str">
        <x:v>0001403161-21-000060</x:v>
      </x:c>
      <x:c r="J16" s="2" t="str">
        <x:v>Visa FY2021 annual report, PDF p66</x:v>
      </x:c>
      <x:c r="K16" s="2" t="str">
        <x:f>A16&amp;"|"&amp;B16&amp;"|"&amp;C16</x:f>
        <x:v>visa|2021|noncurrent_debt</x:v>
      </x:c>
      <x:c r="L16" s="2"/>
      <x:c r="M16" s="2" t="str">
        <x:f>_xlfn.XLOOKUP(I16,$I$169:$I$174,$M$169:$M$174,"n.a.",0)</x:f>
        <x:v>https://s29.q4cdn.com/385744025/files/doc_downloads/Visa-Inc_-Fiscal-2021-Annual-Report.pdf</x:v>
      </x:c>
      <x:c r="N16" s="2"/>
    </x:row>
    <x:row r="17" ht="23" customHeight="1">
      <x:c r="A17" s="2" t="str">
        <x:v>visa</x:v>
      </x:c>
      <x:c r="B17" s="2" t="n">
        <x:v>2021</x:v>
      </x:c>
      <x:c r="C17" s="2" t="str">
        <x:v>total_assets</x:v>
      </x:c>
      <x:c r="D17" s="7"/>
      <x:c r="E17" s="7" t="d">
        <x:v>2021-09-30T00:00:00.000Z</x:v>
      </x:c>
      <x:c r="F17" s="10" t="n">
        <x:v>82896000000</x:v>
      </x:c>
      <x:c r="G17" s="2" t="str">
        <x:v>USD</x:v>
      </x:c>
      <x:c r="H17" s="2" t="n">
        <x:v>66</x:v>
      </x:c>
      <x:c r="I17" s="2" t="str">
        <x:v>0001403161-21-000060</x:v>
      </x:c>
      <x:c r="J17" s="2" t="str">
        <x:v>Visa FY2021 annual report, PDF p66</x:v>
      </x:c>
      <x:c r="K17" s="2" t="str">
        <x:f>A17&amp;"|"&amp;B17&amp;"|"&amp;C17</x:f>
        <x:v>visa|2021|total_assets</x:v>
      </x:c>
      <x:c r="L17" s="2"/>
      <x:c r="M17" s="2" t="str">
        <x:f>_xlfn.XLOOKUP(I17,$I$169:$I$174,$M$169:$M$174,"n.a.",0)</x:f>
        <x:v>https://s29.q4cdn.com/385744025/files/doc_downloads/Visa-Inc_-Fiscal-2021-Annual-Report.pdf</x:v>
      </x:c>
      <x:c r="N17" s="2"/>
    </x:row>
    <x:row r="18" ht="23" customHeight="1">
      <x:c r="A18" s="2" t="str">
        <x:v>visa</x:v>
      </x:c>
      <x:c r="B18" s="2" t="n">
        <x:v>2021</x:v>
      </x:c>
      <x:c r="C18" s="2" t="str">
        <x:v>total_liabilities</x:v>
      </x:c>
      <x:c r="D18" s="7"/>
      <x:c r="E18" s="7" t="d">
        <x:v>2021-09-30T00:00:00.000Z</x:v>
      </x:c>
      <x:c r="F18" s="10" t="n">
        <x:v>45307000000</x:v>
      </x:c>
      <x:c r="G18" s="2" t="str">
        <x:v>USD</x:v>
      </x:c>
      <x:c r="H18" s="2" t="n">
        <x:v>66</x:v>
      </x:c>
      <x:c r="I18" s="2" t="str">
        <x:v>0001403161-21-000060</x:v>
      </x:c>
      <x:c r="J18" s="2" t="str">
        <x:v>Visa FY2021 annual report, PDF p66</x:v>
      </x:c>
      <x:c r="K18" s="2" t="str">
        <x:f>A18&amp;"|"&amp;B18&amp;"|"&amp;C18</x:f>
        <x:v>visa|2021|total_liabilities</x:v>
      </x:c>
      <x:c r="L18" s="2"/>
      <x:c r="M18" s="2" t="str">
        <x:f>_xlfn.XLOOKUP(I18,$I$169:$I$174,$M$169:$M$174,"n.a.",0)</x:f>
        <x:v>https://s29.q4cdn.com/385744025/files/doc_downloads/Visa-Inc_-Fiscal-2021-Annual-Report.pdf</x:v>
      </x:c>
      <x:c r="N18" s="2"/>
    </x:row>
    <x:row r="19" ht="23" customHeight="1">
      <x:c r="A19" s="2" t="str">
        <x:v>visa</x:v>
      </x:c>
      <x:c r="B19" s="2" t="n">
        <x:v>2021</x:v>
      </x:c>
      <x:c r="C19" s="2" t="str">
        <x:v>total_equity</x:v>
      </x:c>
      <x:c r="D19" s="7"/>
      <x:c r="E19" s="7" t="d">
        <x:v>2021-09-30T00:00:00.000Z</x:v>
      </x:c>
      <x:c r="F19" s="10" t="n">
        <x:v>37589000000</x:v>
      </x:c>
      <x:c r="G19" s="2" t="str">
        <x:v>USD</x:v>
      </x:c>
      <x:c r="H19" s="2" t="n">
        <x:v>66</x:v>
      </x:c>
      <x:c r="I19" s="2" t="str">
        <x:v>0001403161-21-000060</x:v>
      </x:c>
      <x:c r="J19" s="2" t="str">
        <x:v>Visa FY2021 annual report, PDF p66</x:v>
      </x:c>
      <x:c r="K19" s="2" t="str">
        <x:f>A19&amp;"|"&amp;B19&amp;"|"&amp;C19</x:f>
        <x:v>visa|2021|total_equity</x:v>
      </x:c>
      <x:c r="L19" s="2"/>
      <x:c r="M19" s="2" t="str">
        <x:f>_xlfn.XLOOKUP(I19,$I$169:$I$174,$M$169:$M$174,"n.a.",0)</x:f>
        <x:v>https://s29.q4cdn.com/385744025/files/doc_downloads/Visa-Inc_-Fiscal-2021-Annual-Report.pdf</x:v>
      </x:c>
      <x:c r="N19" s="2"/>
    </x:row>
    <x:row r="20" ht="23" customHeight="1">
      <x:c r="A20" s="2" t="str">
        <x:v>visa</x:v>
      </x:c>
      <x:c r="B20" s="2" t="n">
        <x:v>2021</x:v>
      </x:c>
      <x:c r="C20" s="2" t="str">
        <x:v>cash_flow_total_end</x:v>
      </x:c>
      <x:c r="D20" s="7"/>
      <x:c r="E20" s="7" t="d">
        <x:v>2021-09-30T00:00:00.000Z</x:v>
      </x:c>
      <x:c r="F20" s="10" t="n">
        <x:v>19799000000</x:v>
      </x:c>
      <x:c r="G20" s="2" t="str">
        <x:v>USD</x:v>
      </x:c>
      <x:c r="H20" s="2" t="n">
        <x:v>72</x:v>
      </x:c>
      <x:c r="I20" s="2" t="str">
        <x:v>0001403161-23-000099</x:v>
      </x:c>
      <x:c r="J20" s="2" t="str">
        <x:v>Visa FY2023 annual report, PDF p72</x:v>
      </x:c>
      <x:c r="K20" s="2" t="str">
        <x:f>A20&amp;"|"&amp;B20&amp;"|"&amp;C20</x:f>
        <x:v>visa|2021|cash_flow_total_end</x:v>
      </x:c>
      <x:c r="L20" s="2"/>
      <x:c r="M20" s="2" t="str">
        <x:f>_xlfn.XLOOKUP(I20,$I$169:$I$174,$M$169:$M$174,"n.a.",0)</x:f>
        <x:v>https://s29.q4cdn.com/385744025/files/doc_downloads/2023/Visa-Inc-Fiscal-2023-Annual-Report.pdf</x:v>
      </x:c>
      <x:c r="N20" s="2"/>
    </x:row>
    <x:row r="21" ht="23" customHeight="1">
      <x:c r="A21" s="2" t="str">
        <x:v>visa</x:v>
      </x:c>
      <x:c r="B21" s="2" t="n">
        <x:v>2022</x:v>
      </x:c>
      <x:c r="C21" s="2" t="str">
        <x:v>net_revenue</x:v>
      </x:c>
      <x:c r="D21" s="7" t="d">
        <x:v>2021-10-01T00:00:00.000Z</x:v>
      </x:c>
      <x:c r="E21" s="7" t="d">
        <x:v>2022-09-30T00:00:00.000Z</x:v>
      </x:c>
      <x:c r="F21" s="10" t="n">
        <x:v>29310000000</x:v>
      </x:c>
      <x:c r="G21" s="2" t="str">
        <x:v>USD</x:v>
      </x:c>
      <x:c r="H21" s="2" t="n">
        <x:v>67</x:v>
      </x:c>
      <x:c r="I21" s="2" t="str">
        <x:v>0001403161-23-000099</x:v>
      </x:c>
      <x:c r="J21" s="2" t="str">
        <x:v>Visa FY2023 annual report, PDF p67</x:v>
      </x:c>
      <x:c r="K21" s="2" t="str">
        <x:f>A21&amp;"|"&amp;B21&amp;"|"&amp;C21</x:f>
        <x:v>visa|2022|net_revenue</x:v>
      </x:c>
      <x:c r="L21" s="2"/>
      <x:c r="M21" s="2" t="str">
        <x:f>_xlfn.XLOOKUP(I21,$I$169:$I$174,$M$169:$M$174,"n.a.",0)</x:f>
        <x:v>https://s29.q4cdn.com/385744025/files/doc_downloads/2023/Visa-Inc-Fiscal-2023-Annual-Report.pdf</x:v>
      </x:c>
      <x:c r="N21" s="2"/>
    </x:row>
    <x:row r="22" ht="23" customHeight="1">
      <x:c r="A22" s="2" t="str">
        <x:v>visa</x:v>
      </x:c>
      <x:c r="B22" s="2" t="n">
        <x:v>2022</x:v>
      </x:c>
      <x:c r="C22" s="2" t="str">
        <x:v>operating_expenses</x:v>
      </x:c>
      <x:c r="D22" s="7" t="d">
        <x:v>2021-10-01T00:00:00.000Z</x:v>
      </x:c>
      <x:c r="E22" s="7" t="d">
        <x:v>2022-09-30T00:00:00.000Z</x:v>
      </x:c>
      <x:c r="F22" s="10" t="n">
        <x:v>10497000000</x:v>
      </x:c>
      <x:c r="G22" s="2" t="str">
        <x:v>USD</x:v>
      </x:c>
      <x:c r="H22" s="2" t="n">
        <x:v>67</x:v>
      </x:c>
      <x:c r="I22" s="2" t="str">
        <x:v>0001403161-23-000099</x:v>
      </x:c>
      <x:c r="J22" s="2" t="str">
        <x:v>Visa FY2023 annual report, PDF p67</x:v>
      </x:c>
      <x:c r="K22" s="2" t="str">
        <x:f>A22&amp;"|"&amp;B22&amp;"|"&amp;C22</x:f>
        <x:v>visa|2022|operating_expenses</x:v>
      </x:c>
      <x:c r="L22" s="2"/>
      <x:c r="M22" s="2" t="str">
        <x:f>_xlfn.XLOOKUP(I22,$I$169:$I$174,$M$169:$M$174,"n.a.",0)</x:f>
        <x:v>https://s29.q4cdn.com/385744025/files/doc_downloads/2023/Visa-Inc-Fiscal-2023-Annual-Report.pdf</x:v>
      </x:c>
      <x:c r="N22" s="2"/>
    </x:row>
    <x:row r="23" ht="23" customHeight="1">
      <x:c r="A23" s="2" t="str">
        <x:v>visa</x:v>
      </x:c>
      <x:c r="B23" s="2" t="n">
        <x:v>2022</x:v>
      </x:c>
      <x:c r="C23" s="2" t="str">
        <x:v>operating_income</x:v>
      </x:c>
      <x:c r="D23" s="7" t="d">
        <x:v>2021-10-01T00:00:00.000Z</x:v>
      </x:c>
      <x:c r="E23" s="7" t="d">
        <x:v>2022-09-30T00:00:00.000Z</x:v>
      </x:c>
      <x:c r="F23" s="10" t="n">
        <x:v>18813000000</x:v>
      </x:c>
      <x:c r="G23" s="2" t="str">
        <x:v>USD</x:v>
      </x:c>
      <x:c r="H23" s="2" t="n">
        <x:v>67</x:v>
      </x:c>
      <x:c r="I23" s="2" t="str">
        <x:v>0001403161-23-000099</x:v>
      </x:c>
      <x:c r="J23" s="2" t="str">
        <x:v>Visa FY2023 annual report, PDF p67</x:v>
      </x:c>
      <x:c r="K23" s="2" t="str">
        <x:f>A23&amp;"|"&amp;B23&amp;"|"&amp;C23</x:f>
        <x:v>visa|2022|operating_income</x:v>
      </x:c>
      <x:c r="L23" s="2"/>
      <x:c r="M23" s="2" t="str">
        <x:f>_xlfn.XLOOKUP(I23,$I$169:$I$174,$M$169:$M$174,"n.a.",0)</x:f>
        <x:v>https://s29.q4cdn.com/385744025/files/doc_downloads/2023/Visa-Inc-Fiscal-2023-Annual-Report.pdf</x:v>
      </x:c>
      <x:c r="N23" s="2"/>
    </x:row>
    <x:row r="24" ht="23" customHeight="1">
      <x:c r="A24" s="2" t="str">
        <x:v>visa</x:v>
      </x:c>
      <x:c r="B24" s="2" t="n">
        <x:v>2022</x:v>
      </x:c>
      <x:c r="C24" s="2" t="str">
        <x:v>pretax_income</x:v>
      </x:c>
      <x:c r="D24" s="7" t="d">
        <x:v>2021-10-01T00:00:00.000Z</x:v>
      </x:c>
      <x:c r="E24" s="7" t="d">
        <x:v>2022-09-30T00:00:00.000Z</x:v>
      </x:c>
      <x:c r="F24" s="10" t="n">
        <x:v>18136000000</x:v>
      </x:c>
      <x:c r="G24" s="2" t="str">
        <x:v>USD</x:v>
      </x:c>
      <x:c r="H24" s="2" t="n">
        <x:v>67</x:v>
      </x:c>
      <x:c r="I24" s="2" t="str">
        <x:v>0001403161-23-000099</x:v>
      </x:c>
      <x:c r="J24" s="2" t="str">
        <x:v>Visa FY2023 annual report, PDF p67</x:v>
      </x:c>
      <x:c r="K24" s="2" t="str">
        <x:f>A24&amp;"|"&amp;B24&amp;"|"&amp;C24</x:f>
        <x:v>visa|2022|pretax_income</x:v>
      </x:c>
      <x:c r="L24" s="2"/>
      <x:c r="M24" s="2" t="str">
        <x:f>_xlfn.XLOOKUP(I24,$I$169:$I$174,$M$169:$M$174,"n.a.",0)</x:f>
        <x:v>https://s29.q4cdn.com/385744025/files/doc_downloads/2023/Visa-Inc-Fiscal-2023-Annual-Report.pdf</x:v>
      </x:c>
      <x:c r="N24" s="2"/>
    </x:row>
    <x:row r="25" ht="23" customHeight="1">
      <x:c r="A25" s="2" t="str">
        <x:v>visa</x:v>
      </x:c>
      <x:c r="B25" s="2" t="n">
        <x:v>2022</x:v>
      </x:c>
      <x:c r="C25" s="2" t="str">
        <x:v>income_tax</x:v>
      </x:c>
      <x:c r="D25" s="7" t="d">
        <x:v>2021-10-01T00:00:00.000Z</x:v>
      </x:c>
      <x:c r="E25" s="7" t="d">
        <x:v>2022-09-30T00:00:00.000Z</x:v>
      </x:c>
      <x:c r="F25" s="10" t="n">
        <x:v>3179000000</x:v>
      </x:c>
      <x:c r="G25" s="2" t="str">
        <x:v>USD</x:v>
      </x:c>
      <x:c r="H25" s="2" t="n">
        <x:v>67</x:v>
      </x:c>
      <x:c r="I25" s="2" t="str">
        <x:v>0001403161-23-000099</x:v>
      </x:c>
      <x:c r="J25" s="2" t="str">
        <x:v>Visa FY2023 annual report, PDF p67</x:v>
      </x:c>
      <x:c r="K25" s="2" t="str">
        <x:f>A25&amp;"|"&amp;B25&amp;"|"&amp;C25</x:f>
        <x:v>visa|2022|income_tax</x:v>
      </x:c>
      <x:c r="L25" s="2"/>
      <x:c r="M25" s="2" t="str">
        <x:f>_xlfn.XLOOKUP(I25,$I$169:$I$174,$M$169:$M$174,"n.a.",0)</x:f>
        <x:v>https://s29.q4cdn.com/385744025/files/doc_downloads/2023/Visa-Inc-Fiscal-2023-Annual-Report.pdf</x:v>
      </x:c>
      <x:c r="N25" s="2"/>
    </x:row>
    <x:row r="26" ht="23" customHeight="1">
      <x:c r="A26" s="2" t="str">
        <x:v>visa</x:v>
      </x:c>
      <x:c r="B26" s="2" t="n">
        <x:v>2022</x:v>
      </x:c>
      <x:c r="C26" s="2" t="str">
        <x:v>net_income</x:v>
      </x:c>
      <x:c r="D26" s="7" t="d">
        <x:v>2021-10-01T00:00:00.000Z</x:v>
      </x:c>
      <x:c r="E26" s="7" t="d">
        <x:v>2022-09-30T00:00:00.000Z</x:v>
      </x:c>
      <x:c r="F26" s="10" t="n">
        <x:v>14957000000</x:v>
      </x:c>
      <x:c r="G26" s="2" t="str">
        <x:v>USD</x:v>
      </x:c>
      <x:c r="H26" s="2" t="n">
        <x:v>67</x:v>
      </x:c>
      <x:c r="I26" s="2" t="str">
        <x:v>0001403161-23-000099</x:v>
      </x:c>
      <x:c r="J26" s="2" t="str">
        <x:v>Visa FY2023 annual report, PDF p67</x:v>
      </x:c>
      <x:c r="K26" s="2" t="str">
        <x:f>A26&amp;"|"&amp;B26&amp;"|"&amp;C26</x:f>
        <x:v>visa|2022|net_income</x:v>
      </x:c>
      <x:c r="L26" s="2"/>
      <x:c r="M26" s="2" t="str">
        <x:f>_xlfn.XLOOKUP(I26,$I$169:$I$174,$M$169:$M$174,"n.a.",0)</x:f>
        <x:v>https://s29.q4cdn.com/385744025/files/doc_downloads/2023/Visa-Inc-Fiscal-2023-Annual-Report.pdf</x:v>
      </x:c>
      <x:c r="N26" s="2"/>
    </x:row>
    <x:row r="27" ht="23" customHeight="1">
      <x:c r="A27" s="2" t="str">
        <x:v>visa</x:v>
      </x:c>
      <x:c r="B27" s="2" t="n">
        <x:v>2022</x:v>
      </x:c>
      <x:c r="C27" s="2" t="str">
        <x:v>operating_cash_flow</x:v>
      </x:c>
      <x:c r="D27" s="7" t="d">
        <x:v>2021-10-01T00:00:00.000Z</x:v>
      </x:c>
      <x:c r="E27" s="7" t="d">
        <x:v>2022-09-30T00:00:00.000Z</x:v>
      </x:c>
      <x:c r="F27" s="10" t="n">
        <x:v>18849000000</x:v>
      </x:c>
      <x:c r="G27" s="2" t="str">
        <x:v>USD</x:v>
      </x:c>
      <x:c r="H27" s="2" t="n">
        <x:v>72</x:v>
      </x:c>
      <x:c r="I27" s="2" t="str">
        <x:v>0001403161-23-000099</x:v>
      </x:c>
      <x:c r="J27" s="2" t="str">
        <x:v>Visa FY2023 annual report, PDF p72</x:v>
      </x:c>
      <x:c r="K27" s="2" t="str">
        <x:f>A27&amp;"|"&amp;B27&amp;"|"&amp;C27</x:f>
        <x:v>visa|2022|operating_cash_flow</x:v>
      </x:c>
      <x:c r="L27" s="2"/>
      <x:c r="M27" s="2" t="str">
        <x:f>_xlfn.XLOOKUP(I27,$I$169:$I$174,$M$169:$M$174,"n.a.",0)</x:f>
        <x:v>https://s29.q4cdn.com/385744025/files/doc_downloads/2023/Visa-Inc-Fiscal-2023-Annual-Report.pdf</x:v>
      </x:c>
      <x:c r="N27" s="2"/>
    </x:row>
    <x:row r="28" ht="23" customHeight="1">
      <x:c r="A28" s="2" t="str">
        <x:v>visa</x:v>
      </x:c>
      <x:c r="B28" s="2" t="n">
        <x:v>2022</x:v>
      </x:c>
      <x:c r="C28" s="2" t="str">
        <x:v>capital_payments_primary</x:v>
      </x:c>
      <x:c r="D28" s="7" t="d">
        <x:v>2021-10-01T00:00:00.000Z</x:v>
      </x:c>
      <x:c r="E28" s="7" t="d">
        <x:v>2022-09-30T00:00:00.000Z</x:v>
      </x:c>
      <x:c r="F28" s="10" t="n">
        <x:v>970000000</x:v>
      </x:c>
      <x:c r="G28" s="2" t="str">
        <x:v>USD</x:v>
      </x:c>
      <x:c r="H28" s="2" t="n">
        <x:v>72</x:v>
      </x:c>
      <x:c r="I28" s="2" t="str">
        <x:v>0001403161-23-000099</x:v>
      </x:c>
      <x:c r="J28" s="2" t="str">
        <x:v>Visa FY2023 annual report, PDF p72</x:v>
      </x:c>
      <x:c r="K28" s="2" t="str">
        <x:f>A28&amp;"|"&amp;B28&amp;"|"&amp;C28</x:f>
        <x:v>visa|2022|capital_payments_primary</x:v>
      </x:c>
      <x:c r="L28" s="2"/>
      <x:c r="M28" s="2" t="str">
        <x:f>_xlfn.XLOOKUP(I28,$I$169:$I$174,$M$169:$M$174,"n.a.",0)</x:f>
        <x:v>https://s29.q4cdn.com/385744025/files/doc_downloads/2023/Visa-Inc-Fiscal-2023-Annual-Report.pdf</x:v>
      </x:c>
      <x:c r="N28" s="2"/>
    </x:row>
    <x:row r="29" ht="23" customHeight="1">
      <x:c r="A29" s="2" t="str">
        <x:v>visa</x:v>
      </x:c>
      <x:c r="B29" s="2" t="n">
        <x:v>2022</x:v>
      </x:c>
      <x:c r="C29" s="2" t="str">
        <x:v>cash_and_cash_equivalents</x:v>
      </x:c>
      <x:c r="D29" s="7"/>
      <x:c r="E29" s="7" t="d">
        <x:v>2022-09-30T00:00:00.000Z</x:v>
      </x:c>
      <x:c r="F29" s="10" t="n">
        <x:v>15689000000</x:v>
      </x:c>
      <x:c r="G29" s="2" t="str">
        <x:v>USD</x:v>
      </x:c>
      <x:c r="H29" s="2" t="n">
        <x:v>66</x:v>
      </x:c>
      <x:c r="I29" s="2" t="str">
        <x:v>0001403161-23-000099</x:v>
      </x:c>
      <x:c r="J29" s="2" t="str">
        <x:v>Visa FY2023 annual report, PDF p66</x:v>
      </x:c>
      <x:c r="K29" s="2" t="str">
        <x:f>A29&amp;"|"&amp;B29&amp;"|"&amp;C29</x:f>
        <x:v>visa|2022|cash_and_cash_equivalents</x:v>
      </x:c>
      <x:c r="L29" s="2"/>
      <x:c r="M29" s="2" t="str">
        <x:f>_xlfn.XLOOKUP(I29,$I$169:$I$174,$M$169:$M$174,"n.a.",0)</x:f>
        <x:v>https://s29.q4cdn.com/385744025/files/doc_downloads/2023/Visa-Inc-Fiscal-2023-Annual-Report.pdf</x:v>
      </x:c>
      <x:c r="N29" s="2"/>
    </x:row>
    <x:row r="30" ht="23" customHeight="1">
      <x:c r="A30" s="2" t="str">
        <x:v>visa</x:v>
      </x:c>
      <x:c r="B30" s="2" t="n">
        <x:v>2022</x:v>
      </x:c>
      <x:c r="C30" s="2" t="str">
        <x:v>current_debt</x:v>
      </x:c>
      <x:c r="D30" s="7"/>
      <x:c r="E30" s="7" t="d">
        <x:v>2022-09-30T00:00:00.000Z</x:v>
      </x:c>
      <x:c r="F30" s="10" t="n">
        <x:v>2250000000</x:v>
      </x:c>
      <x:c r="G30" s="2" t="str">
        <x:v>USD</x:v>
      </x:c>
      <x:c r="H30" s="2" t="n">
        <x:v>66</x:v>
      </x:c>
      <x:c r="I30" s="2" t="str">
        <x:v>0001403161-23-000099</x:v>
      </x:c>
      <x:c r="J30" s="2" t="str">
        <x:v>Visa FY2023 annual report, PDF p66</x:v>
      </x:c>
      <x:c r="K30" s="2" t="str">
        <x:f>A30&amp;"|"&amp;B30&amp;"|"&amp;C30</x:f>
        <x:v>visa|2022|current_debt</x:v>
      </x:c>
      <x:c r="L30" s="2"/>
      <x:c r="M30" s="2" t="str">
        <x:f>_xlfn.XLOOKUP(I30,$I$169:$I$174,$M$169:$M$174,"n.a.",0)</x:f>
        <x:v>https://s29.q4cdn.com/385744025/files/doc_downloads/2023/Visa-Inc-Fiscal-2023-Annual-Report.pdf</x:v>
      </x:c>
      <x:c r="N30" s="2"/>
    </x:row>
    <x:row r="31" ht="23" customHeight="1">
      <x:c r="A31" s="2" t="str">
        <x:v>visa</x:v>
      </x:c>
      <x:c r="B31" s="2" t="n">
        <x:v>2022</x:v>
      </x:c>
      <x:c r="C31" s="2" t="str">
        <x:v>noncurrent_debt</x:v>
      </x:c>
      <x:c r="D31" s="7"/>
      <x:c r="E31" s="7" t="d">
        <x:v>2022-09-30T00:00:00.000Z</x:v>
      </x:c>
      <x:c r="F31" s="10" t="n">
        <x:v>20200000000</x:v>
      </x:c>
      <x:c r="G31" s="2" t="str">
        <x:v>USD</x:v>
      </x:c>
      <x:c r="H31" s="2" t="n">
        <x:v>66</x:v>
      </x:c>
      <x:c r="I31" s="2" t="str">
        <x:v>0001403161-23-000099</x:v>
      </x:c>
      <x:c r="J31" s="2" t="str">
        <x:v>Visa FY2023 annual report, PDF p66</x:v>
      </x:c>
      <x:c r="K31" s="2" t="str">
        <x:f>A31&amp;"|"&amp;B31&amp;"|"&amp;C31</x:f>
        <x:v>visa|2022|noncurrent_debt</x:v>
      </x:c>
      <x:c r="L31" s="2"/>
      <x:c r="M31" s="2" t="str">
        <x:f>_xlfn.XLOOKUP(I31,$I$169:$I$174,$M$169:$M$174,"n.a.",0)</x:f>
        <x:v>https://s29.q4cdn.com/385744025/files/doc_downloads/2023/Visa-Inc-Fiscal-2023-Annual-Report.pdf</x:v>
      </x:c>
      <x:c r="N31" s="2"/>
    </x:row>
    <x:row r="32" ht="23" customHeight="1">
      <x:c r="A32" s="2" t="str">
        <x:v>visa</x:v>
      </x:c>
      <x:c r="B32" s="2" t="n">
        <x:v>2022</x:v>
      </x:c>
      <x:c r="C32" s="2" t="str">
        <x:v>total_assets</x:v>
      </x:c>
      <x:c r="D32" s="7"/>
      <x:c r="E32" s="7" t="d">
        <x:v>2022-09-30T00:00:00.000Z</x:v>
      </x:c>
      <x:c r="F32" s="10" t="n">
        <x:v>85501000000</x:v>
      </x:c>
      <x:c r="G32" s="2" t="str">
        <x:v>USD</x:v>
      </x:c>
      <x:c r="H32" s="2" t="n">
        <x:v>66</x:v>
      </x:c>
      <x:c r="I32" s="2" t="str">
        <x:v>0001403161-23-000099</x:v>
      </x:c>
      <x:c r="J32" s="2" t="str">
        <x:v>Visa FY2023 annual report, PDF p66</x:v>
      </x:c>
      <x:c r="K32" s="2" t="str">
        <x:f>A32&amp;"|"&amp;B32&amp;"|"&amp;C32</x:f>
        <x:v>visa|2022|total_assets</x:v>
      </x:c>
      <x:c r="L32" s="2"/>
      <x:c r="M32" s="2" t="str">
        <x:f>_xlfn.XLOOKUP(I32,$I$169:$I$174,$M$169:$M$174,"n.a.",0)</x:f>
        <x:v>https://s29.q4cdn.com/385744025/files/doc_downloads/2023/Visa-Inc-Fiscal-2023-Annual-Report.pdf</x:v>
      </x:c>
      <x:c r="N32" s="2"/>
    </x:row>
    <x:row r="33" ht="23" customHeight="1">
      <x:c r="A33" s="2" t="str">
        <x:v>visa</x:v>
      </x:c>
      <x:c r="B33" s="2" t="n">
        <x:v>2022</x:v>
      </x:c>
      <x:c r="C33" s="2" t="str">
        <x:v>total_liabilities</x:v>
      </x:c>
      <x:c r="D33" s="7"/>
      <x:c r="E33" s="7" t="d">
        <x:v>2022-09-30T00:00:00.000Z</x:v>
      </x:c>
      <x:c r="F33" s="10" t="n">
        <x:v>49920000000</x:v>
      </x:c>
      <x:c r="G33" s="2" t="str">
        <x:v>USD</x:v>
      </x:c>
      <x:c r="H33" s="2" t="n">
        <x:v>66</x:v>
      </x:c>
      <x:c r="I33" s="2" t="str">
        <x:v>0001403161-23-000099</x:v>
      </x:c>
      <x:c r="J33" s="2" t="str">
        <x:v>Visa FY2023 annual report, PDF p66</x:v>
      </x:c>
      <x:c r="K33" s="2" t="str">
        <x:f>A33&amp;"|"&amp;B33&amp;"|"&amp;C33</x:f>
        <x:v>visa|2022|total_liabilities</x:v>
      </x:c>
      <x:c r="L33" s="2"/>
      <x:c r="M33" s="2" t="str">
        <x:f>_xlfn.XLOOKUP(I33,$I$169:$I$174,$M$169:$M$174,"n.a.",0)</x:f>
        <x:v>https://s29.q4cdn.com/385744025/files/doc_downloads/2023/Visa-Inc-Fiscal-2023-Annual-Report.pdf</x:v>
      </x:c>
      <x:c r="N33" s="2"/>
    </x:row>
    <x:row r="34" ht="23" customHeight="1">
      <x:c r="A34" s="2" t="str">
        <x:v>visa</x:v>
      </x:c>
      <x:c r="B34" s="2" t="n">
        <x:v>2022</x:v>
      </x:c>
      <x:c r="C34" s="2" t="str">
        <x:v>total_equity</x:v>
      </x:c>
      <x:c r="D34" s="7"/>
      <x:c r="E34" s="7" t="d">
        <x:v>2022-09-30T00:00:00.000Z</x:v>
      </x:c>
      <x:c r="F34" s="10" t="n">
        <x:v>35581000000</x:v>
      </x:c>
      <x:c r="G34" s="2" t="str">
        <x:v>USD</x:v>
      </x:c>
      <x:c r="H34" s="2" t="n">
        <x:v>66</x:v>
      </x:c>
      <x:c r="I34" s="2" t="str">
        <x:v>0001403161-23-000099</x:v>
      </x:c>
      <x:c r="J34" s="2" t="str">
        <x:v>Visa FY2023 annual report, PDF p66</x:v>
      </x:c>
      <x:c r="K34" s="2" t="str">
        <x:f>A34&amp;"|"&amp;B34&amp;"|"&amp;C34</x:f>
        <x:v>visa|2022|total_equity</x:v>
      </x:c>
      <x:c r="L34" s="2"/>
      <x:c r="M34" s="2" t="str">
        <x:f>_xlfn.XLOOKUP(I34,$I$169:$I$174,$M$169:$M$174,"n.a.",0)</x:f>
        <x:v>https://s29.q4cdn.com/385744025/files/doc_downloads/2023/Visa-Inc-Fiscal-2023-Annual-Report.pdf</x:v>
      </x:c>
      <x:c r="N34" s="2"/>
    </x:row>
    <x:row r="35" ht="23" customHeight="1">
      <x:c r="A35" s="2" t="str">
        <x:v>visa</x:v>
      </x:c>
      <x:c r="B35" s="2" t="n">
        <x:v>2022</x:v>
      </x:c>
      <x:c r="C35" s="2" t="str">
        <x:v>cash_flow_total_end</x:v>
      </x:c>
      <x:c r="D35" s="7"/>
      <x:c r="E35" s="7" t="d">
        <x:v>2022-09-30T00:00:00.000Z</x:v>
      </x:c>
      <x:c r="F35" s="10" t="n">
        <x:v>20377000000</x:v>
      </x:c>
      <x:c r="G35" s="2" t="str">
        <x:v>USD</x:v>
      </x:c>
      <x:c r="H35" s="2" t="n">
        <x:v>72</x:v>
      </x:c>
      <x:c r="I35" s="2" t="str">
        <x:v>0001403161-23-000099</x:v>
      </x:c>
      <x:c r="J35" s="2" t="str">
        <x:v>Visa FY2023 annual report, PDF p72</x:v>
      </x:c>
      <x:c r="K35" s="2" t="str">
        <x:f>A35&amp;"|"&amp;B35&amp;"|"&amp;C35</x:f>
        <x:v>visa|2022|cash_flow_total_end</x:v>
      </x:c>
      <x:c r="L35" s="2"/>
      <x:c r="M35" s="2" t="str">
        <x:f>_xlfn.XLOOKUP(I35,$I$169:$I$174,$M$169:$M$174,"n.a.",0)</x:f>
        <x:v>https://s29.q4cdn.com/385744025/files/doc_downloads/2023/Visa-Inc-Fiscal-2023-Annual-Report.pdf</x:v>
      </x:c>
      <x:c r="N35" s="2"/>
    </x:row>
    <x:row r="36" ht="23" customHeight="1">
      <x:c r="A36" s="2" t="str">
        <x:v>visa</x:v>
      </x:c>
      <x:c r="B36" s="2" t="n">
        <x:v>2023</x:v>
      </x:c>
      <x:c r="C36" s="2" t="str">
        <x:v>net_revenue</x:v>
      </x:c>
      <x:c r="D36" s="7" t="d">
        <x:v>2022-10-01T00:00:00.000Z</x:v>
      </x:c>
      <x:c r="E36" s="7" t="d">
        <x:v>2023-09-30T00:00:00.000Z</x:v>
      </x:c>
      <x:c r="F36" s="10" t="n">
        <x:v>32653000000</x:v>
      </x:c>
      <x:c r="G36" s="2" t="str">
        <x:v>USD</x:v>
      </x:c>
      <x:c r="H36" s="2" t="n">
        <x:v>75</x:v>
      </x:c>
      <x:c r="I36" s="2" t="str">
        <x:v>0001403161-25-000089</x:v>
      </x:c>
      <x:c r="J36" s="2" t="str">
        <x:v>Visa FY2025 annual report, PDF p75</x:v>
      </x:c>
      <x:c r="K36" s="2" t="str">
        <x:f>A36&amp;"|"&amp;B36&amp;"|"&amp;C36</x:f>
        <x:v>visa|2023|net_revenue</x:v>
      </x:c>
      <x:c r="L36" s="2"/>
      <x:c r="M36" s="2" t="str">
        <x:f>_xlfn.XLOOKUP(I36,$I$169:$I$174,$M$169:$M$174,"n.a.",0)</x:f>
        <x:v>https://s29.q4cdn.com/385744025/files/doc_downloads/2025/Visa-Fiscal-2025-Annual-Report.pdf</x:v>
      </x:c>
      <x:c r="N36" s="2"/>
    </x:row>
    <x:row r="37" ht="23" customHeight="1">
      <x:c r="A37" s="2" t="str">
        <x:v>visa</x:v>
      </x:c>
      <x:c r="B37" s="2" t="n">
        <x:v>2023</x:v>
      </x:c>
      <x:c r="C37" s="2" t="str">
        <x:v>operating_expenses</x:v>
      </x:c>
      <x:c r="D37" s="7" t="d">
        <x:v>2022-10-01T00:00:00.000Z</x:v>
      </x:c>
      <x:c r="E37" s="7" t="d">
        <x:v>2023-09-30T00:00:00.000Z</x:v>
      </x:c>
      <x:c r="F37" s="10" t="n">
        <x:v>11653000000</x:v>
      </x:c>
      <x:c r="G37" s="2" t="str">
        <x:v>USD</x:v>
      </x:c>
      <x:c r="H37" s="2" t="n">
        <x:v>75</x:v>
      </x:c>
      <x:c r="I37" s="2" t="str">
        <x:v>0001403161-25-000089</x:v>
      </x:c>
      <x:c r="J37" s="2" t="str">
        <x:v>Visa FY2025 annual report, PDF p75</x:v>
      </x:c>
      <x:c r="K37" s="2" t="str">
        <x:f>A37&amp;"|"&amp;B37&amp;"|"&amp;C37</x:f>
        <x:v>visa|2023|operating_expenses</x:v>
      </x:c>
      <x:c r="L37" s="2"/>
      <x:c r="M37" s="2" t="str">
        <x:f>_xlfn.XLOOKUP(I37,$I$169:$I$174,$M$169:$M$174,"n.a.",0)</x:f>
        <x:v>https://s29.q4cdn.com/385744025/files/doc_downloads/2025/Visa-Fiscal-2025-Annual-Report.pdf</x:v>
      </x:c>
      <x:c r="N37" s="2"/>
    </x:row>
    <x:row r="38" ht="23" customHeight="1">
      <x:c r="A38" s="2" t="str">
        <x:v>visa</x:v>
      </x:c>
      <x:c r="B38" s="2" t="n">
        <x:v>2023</x:v>
      </x:c>
      <x:c r="C38" s="2" t="str">
        <x:v>operating_income</x:v>
      </x:c>
      <x:c r="D38" s="7" t="d">
        <x:v>2022-10-01T00:00:00.000Z</x:v>
      </x:c>
      <x:c r="E38" s="7" t="d">
        <x:v>2023-09-30T00:00:00.000Z</x:v>
      </x:c>
      <x:c r="F38" s="10" t="n">
        <x:v>21000000000</x:v>
      </x:c>
      <x:c r="G38" s="2" t="str">
        <x:v>USD</x:v>
      </x:c>
      <x:c r="H38" s="2" t="n">
        <x:v>75</x:v>
      </x:c>
      <x:c r="I38" s="2" t="str">
        <x:v>0001403161-25-000089</x:v>
      </x:c>
      <x:c r="J38" s="2" t="str">
        <x:v>Visa FY2025 annual report, PDF p75</x:v>
      </x:c>
      <x:c r="K38" s="2" t="str">
        <x:f>A38&amp;"|"&amp;B38&amp;"|"&amp;C38</x:f>
        <x:v>visa|2023|operating_income</x:v>
      </x:c>
      <x:c r="L38" s="2"/>
      <x:c r="M38" s="2" t="str">
        <x:f>_xlfn.XLOOKUP(I38,$I$169:$I$174,$M$169:$M$174,"n.a.",0)</x:f>
        <x:v>https://s29.q4cdn.com/385744025/files/doc_downloads/2025/Visa-Fiscal-2025-Annual-Report.pdf</x:v>
      </x:c>
      <x:c r="N38" s="2"/>
    </x:row>
    <x:row r="39" ht="23" customHeight="1">
      <x:c r="A39" s="2" t="str">
        <x:v>visa</x:v>
      </x:c>
      <x:c r="B39" s="2" t="n">
        <x:v>2023</x:v>
      </x:c>
      <x:c r="C39" s="2" t="str">
        <x:v>pretax_income</x:v>
      </x:c>
      <x:c r="D39" s="7" t="d">
        <x:v>2022-10-01T00:00:00.000Z</x:v>
      </x:c>
      <x:c r="E39" s="7" t="d">
        <x:v>2023-09-30T00:00:00.000Z</x:v>
      </x:c>
      <x:c r="F39" s="10" t="n">
        <x:v>21037000000</x:v>
      </x:c>
      <x:c r="G39" s="2" t="str">
        <x:v>USD</x:v>
      </x:c>
      <x:c r="H39" s="2" t="n">
        <x:v>75</x:v>
      </x:c>
      <x:c r="I39" s="2" t="str">
        <x:v>0001403161-25-000089</x:v>
      </x:c>
      <x:c r="J39" s="2" t="str">
        <x:v>Visa FY2025 annual report, PDF p75</x:v>
      </x:c>
      <x:c r="K39" s="2" t="str">
        <x:f>A39&amp;"|"&amp;B39&amp;"|"&amp;C39</x:f>
        <x:v>visa|2023|pretax_income</x:v>
      </x:c>
      <x:c r="L39" s="2"/>
      <x:c r="M39" s="2" t="str">
        <x:f>_xlfn.XLOOKUP(I39,$I$169:$I$174,$M$169:$M$174,"n.a.",0)</x:f>
        <x:v>https://s29.q4cdn.com/385744025/files/doc_downloads/2025/Visa-Fiscal-2025-Annual-Report.pdf</x:v>
      </x:c>
      <x:c r="N39" s="2"/>
    </x:row>
    <x:row r="40" ht="23" customHeight="1">
      <x:c r="A40" s="2" t="str">
        <x:v>visa</x:v>
      </x:c>
      <x:c r="B40" s="2" t="n">
        <x:v>2023</x:v>
      </x:c>
      <x:c r="C40" s="2" t="str">
        <x:v>income_tax</x:v>
      </x:c>
      <x:c r="D40" s="7" t="d">
        <x:v>2022-10-01T00:00:00.000Z</x:v>
      </x:c>
      <x:c r="E40" s="7" t="d">
        <x:v>2023-09-30T00:00:00.000Z</x:v>
      </x:c>
      <x:c r="F40" s="10" t="n">
        <x:v>3764000000</x:v>
      </x:c>
      <x:c r="G40" s="2" t="str">
        <x:v>USD</x:v>
      </x:c>
      <x:c r="H40" s="2" t="n">
        <x:v>75</x:v>
      </x:c>
      <x:c r="I40" s="2" t="str">
        <x:v>0001403161-25-000089</x:v>
      </x:c>
      <x:c r="J40" s="2" t="str">
        <x:v>Visa FY2025 annual report, PDF p75</x:v>
      </x:c>
      <x:c r="K40" s="2" t="str">
        <x:f>A40&amp;"|"&amp;B40&amp;"|"&amp;C40</x:f>
        <x:v>visa|2023|income_tax</x:v>
      </x:c>
      <x:c r="L40" s="2"/>
      <x:c r="M40" s="2" t="str">
        <x:f>_xlfn.XLOOKUP(I40,$I$169:$I$174,$M$169:$M$174,"n.a.",0)</x:f>
        <x:v>https://s29.q4cdn.com/385744025/files/doc_downloads/2025/Visa-Fiscal-2025-Annual-Report.pdf</x:v>
      </x:c>
      <x:c r="N40" s="2"/>
    </x:row>
    <x:row r="41" ht="23" customHeight="1">
      <x:c r="A41" s="2" t="str">
        <x:v>visa</x:v>
      </x:c>
      <x:c r="B41" s="2" t="n">
        <x:v>2023</x:v>
      </x:c>
      <x:c r="C41" s="2" t="str">
        <x:v>net_income</x:v>
      </x:c>
      <x:c r="D41" s="7" t="d">
        <x:v>2022-10-01T00:00:00.000Z</x:v>
      </x:c>
      <x:c r="E41" s="7" t="d">
        <x:v>2023-09-30T00:00:00.000Z</x:v>
      </x:c>
      <x:c r="F41" s="10" t="n">
        <x:v>17273000000</x:v>
      </x:c>
      <x:c r="G41" s="2" t="str">
        <x:v>USD</x:v>
      </x:c>
      <x:c r="H41" s="2" t="n">
        <x:v>75</x:v>
      </x:c>
      <x:c r="I41" s="2" t="str">
        <x:v>0001403161-25-000089</x:v>
      </x:c>
      <x:c r="J41" s="2" t="str">
        <x:v>Visa FY2025 annual report, PDF p75</x:v>
      </x:c>
      <x:c r="K41" s="2" t="str">
        <x:f>A41&amp;"|"&amp;B41&amp;"|"&amp;C41</x:f>
        <x:v>visa|2023|net_income</x:v>
      </x:c>
      <x:c r="L41" s="2"/>
      <x:c r="M41" s="2" t="str">
        <x:f>_xlfn.XLOOKUP(I41,$I$169:$I$174,$M$169:$M$174,"n.a.",0)</x:f>
        <x:v>https://s29.q4cdn.com/385744025/files/doc_downloads/2025/Visa-Fiscal-2025-Annual-Report.pdf</x:v>
      </x:c>
      <x:c r="N41" s="2"/>
    </x:row>
    <x:row r="42" ht="23" customHeight="1">
      <x:c r="A42" s="2" t="str">
        <x:v>visa</x:v>
      </x:c>
      <x:c r="B42" s="2" t="n">
        <x:v>2023</x:v>
      </x:c>
      <x:c r="C42" s="2" t="str">
        <x:v>operating_cash_flow</x:v>
      </x:c>
      <x:c r="D42" s="7" t="d">
        <x:v>2022-10-01T00:00:00.000Z</x:v>
      </x:c>
      <x:c r="E42" s="7" t="d">
        <x:v>2023-09-30T00:00:00.000Z</x:v>
      </x:c>
      <x:c r="F42" s="10" t="n">
        <x:v>20755000000</x:v>
      </x:c>
      <x:c r="G42" s="2" t="str">
        <x:v>USD</x:v>
      </x:c>
      <x:c r="H42" s="2" t="n">
        <x:v>80</x:v>
      </x:c>
      <x:c r="I42" s="2" t="str">
        <x:v>0001403161-25-000089</x:v>
      </x:c>
      <x:c r="J42" s="2" t="str">
        <x:v>Visa FY2025 annual report, PDF p80</x:v>
      </x:c>
      <x:c r="K42" s="2" t="str">
        <x:f>A42&amp;"|"&amp;B42&amp;"|"&amp;C42</x:f>
        <x:v>visa|2023|operating_cash_flow</x:v>
      </x:c>
      <x:c r="L42" s="2"/>
      <x:c r="M42" s="2" t="str">
        <x:f>_xlfn.XLOOKUP(I42,$I$169:$I$174,$M$169:$M$174,"n.a.",0)</x:f>
        <x:v>https://s29.q4cdn.com/385744025/files/doc_downloads/2025/Visa-Fiscal-2025-Annual-Report.pdf</x:v>
      </x:c>
      <x:c r="N42" s="2"/>
    </x:row>
    <x:row r="43" ht="23" customHeight="1">
      <x:c r="A43" s="2" t="str">
        <x:v>visa</x:v>
      </x:c>
      <x:c r="B43" s="2" t="n">
        <x:v>2023</x:v>
      </x:c>
      <x:c r="C43" s="2" t="str">
        <x:v>capital_payments_primary</x:v>
      </x:c>
      <x:c r="D43" s="7" t="d">
        <x:v>2022-10-01T00:00:00.000Z</x:v>
      </x:c>
      <x:c r="E43" s="7" t="d">
        <x:v>2023-09-30T00:00:00.000Z</x:v>
      </x:c>
      <x:c r="F43" s="10" t="n">
        <x:v>1059000000</x:v>
      </x:c>
      <x:c r="G43" s="2" t="str">
        <x:v>USD</x:v>
      </x:c>
      <x:c r="H43" s="2" t="n">
        <x:v>80</x:v>
      </x:c>
      <x:c r="I43" s="2" t="str">
        <x:v>0001403161-25-000089</x:v>
      </x:c>
      <x:c r="J43" s="2" t="str">
        <x:v>Visa FY2025 annual report, PDF p80</x:v>
      </x:c>
      <x:c r="K43" s="2" t="str">
        <x:f>A43&amp;"|"&amp;B43&amp;"|"&amp;C43</x:f>
        <x:v>visa|2023|capital_payments_primary</x:v>
      </x:c>
      <x:c r="L43" s="2"/>
      <x:c r="M43" s="2" t="str">
        <x:f>_xlfn.XLOOKUP(I43,$I$169:$I$174,$M$169:$M$174,"n.a.",0)</x:f>
        <x:v>https://s29.q4cdn.com/385744025/files/doc_downloads/2025/Visa-Fiscal-2025-Annual-Report.pdf</x:v>
      </x:c>
      <x:c r="N43" s="2"/>
    </x:row>
    <x:row r="44" ht="23" customHeight="1">
      <x:c r="A44" s="2" t="str">
        <x:v>visa</x:v>
      </x:c>
      <x:c r="B44" s="2" t="n">
        <x:v>2023</x:v>
      </x:c>
      <x:c r="C44" s="2" t="str">
        <x:v>cash_and_cash_equivalents</x:v>
      </x:c>
      <x:c r="D44" s="7"/>
      <x:c r="E44" s="7" t="d">
        <x:v>2023-09-30T00:00:00.000Z</x:v>
      </x:c>
      <x:c r="F44" s="10" t="n">
        <x:v>16286000000</x:v>
      </x:c>
      <x:c r="G44" s="2" t="str">
        <x:v>USD</x:v>
      </x:c>
      <x:c r="H44" s="2" t="n">
        <x:v>66</x:v>
      </x:c>
      <x:c r="I44" s="2" t="str">
        <x:v>0001403161-23-000099</x:v>
      </x:c>
      <x:c r="J44" s="2" t="str">
        <x:v>Visa FY2023 annual report, PDF p66</x:v>
      </x:c>
      <x:c r="K44" s="2" t="str">
        <x:f>A44&amp;"|"&amp;B44&amp;"|"&amp;C44</x:f>
        <x:v>visa|2023|cash_and_cash_equivalents</x:v>
      </x:c>
      <x:c r="L44" s="2"/>
      <x:c r="M44" s="2" t="str">
        <x:f>_xlfn.XLOOKUP(I44,$I$169:$I$174,$M$169:$M$174,"n.a.",0)</x:f>
        <x:v>https://s29.q4cdn.com/385744025/files/doc_downloads/2023/Visa-Inc-Fiscal-2023-Annual-Report.pdf</x:v>
      </x:c>
      <x:c r="N44" s="2"/>
    </x:row>
    <x:row r="45" ht="23" customHeight="1">
      <x:c r="A45" s="2" t="str">
        <x:v>visa</x:v>
      </x:c>
      <x:c r="B45" s="2" t="n">
        <x:v>2023</x:v>
      </x:c>
      <x:c r="C45" s="2" t="str">
        <x:v>current_debt</x:v>
      </x:c>
      <x:c r="D45" s="7"/>
      <x:c r="E45" s="7" t="d">
        <x:v>2023-09-30T00:00:00.000Z</x:v>
      </x:c>
      <x:c r="F45" s="10" t="n">
        <x:v>0</x:v>
      </x:c>
      <x:c r="G45" s="2" t="str">
        <x:v>USD</x:v>
      </x:c>
      <x:c r="H45" s="2" t="n">
        <x:v>66</x:v>
      </x:c>
      <x:c r="I45" s="2" t="str">
        <x:v>0001403161-23-000099</x:v>
      </x:c>
      <x:c r="J45" s="2" t="str">
        <x:v>Visa FY2023 annual report, PDF p66</x:v>
      </x:c>
      <x:c r="K45" s="2" t="str">
        <x:f>A45&amp;"|"&amp;B45&amp;"|"&amp;C45</x:f>
        <x:v>visa|2023|current_debt</x:v>
      </x:c>
      <x:c r="L45" s="2"/>
      <x:c r="M45" s="2" t="str">
        <x:f>_xlfn.XLOOKUP(I45,$I$169:$I$174,$M$169:$M$174,"n.a.",0)</x:f>
        <x:v>https://s29.q4cdn.com/385744025/files/doc_downloads/2023/Visa-Inc-Fiscal-2023-Annual-Report.pdf</x:v>
      </x:c>
      <x:c r="N45" s="2"/>
    </x:row>
    <x:row r="46" ht="23" customHeight="1">
      <x:c r="A46" s="2" t="str">
        <x:v>visa</x:v>
      </x:c>
      <x:c r="B46" s="2" t="n">
        <x:v>2023</x:v>
      </x:c>
      <x:c r="C46" s="2" t="str">
        <x:v>noncurrent_debt</x:v>
      </x:c>
      <x:c r="D46" s="7"/>
      <x:c r="E46" s="7" t="d">
        <x:v>2023-09-30T00:00:00.000Z</x:v>
      </x:c>
      <x:c r="F46" s="10" t="n">
        <x:v>20463000000</x:v>
      </x:c>
      <x:c r="G46" s="2" t="str">
        <x:v>USD</x:v>
      </x:c>
      <x:c r="H46" s="2" t="n">
        <x:v>66</x:v>
      </x:c>
      <x:c r="I46" s="2" t="str">
        <x:v>0001403161-23-000099</x:v>
      </x:c>
      <x:c r="J46" s="2" t="str">
        <x:v>Visa FY2023 annual report, PDF p66</x:v>
      </x:c>
      <x:c r="K46" s="2" t="str">
        <x:f>A46&amp;"|"&amp;B46&amp;"|"&amp;C46</x:f>
        <x:v>visa|2023|noncurrent_debt</x:v>
      </x:c>
      <x:c r="L46" s="2"/>
      <x:c r="M46" s="2" t="str">
        <x:f>_xlfn.XLOOKUP(I46,$I$169:$I$174,$M$169:$M$174,"n.a.",0)</x:f>
        <x:v>https://s29.q4cdn.com/385744025/files/doc_downloads/2023/Visa-Inc-Fiscal-2023-Annual-Report.pdf</x:v>
      </x:c>
      <x:c r="N46" s="2"/>
    </x:row>
    <x:row r="47" ht="23" customHeight="1">
      <x:c r="A47" s="2" t="str">
        <x:v>visa</x:v>
      </x:c>
      <x:c r="B47" s="2" t="n">
        <x:v>2023</x:v>
      </x:c>
      <x:c r="C47" s="2" t="str">
        <x:v>total_assets</x:v>
      </x:c>
      <x:c r="D47" s="7"/>
      <x:c r="E47" s="7" t="d">
        <x:v>2023-09-30T00:00:00.000Z</x:v>
      </x:c>
      <x:c r="F47" s="10" t="n">
        <x:v>90499000000</x:v>
      </x:c>
      <x:c r="G47" s="2" t="str">
        <x:v>USD</x:v>
      </x:c>
      <x:c r="H47" s="2" t="n">
        <x:v>66</x:v>
      </x:c>
      <x:c r="I47" s="2" t="str">
        <x:v>0001403161-23-000099</x:v>
      </x:c>
      <x:c r="J47" s="2" t="str">
        <x:v>Visa FY2023 annual report, PDF p66</x:v>
      </x:c>
      <x:c r="K47" s="2" t="str">
        <x:f>A47&amp;"|"&amp;B47&amp;"|"&amp;C47</x:f>
        <x:v>visa|2023|total_assets</x:v>
      </x:c>
      <x:c r="L47" s="2"/>
      <x:c r="M47" s="2" t="str">
        <x:f>_xlfn.XLOOKUP(I47,$I$169:$I$174,$M$169:$M$174,"n.a.",0)</x:f>
        <x:v>https://s29.q4cdn.com/385744025/files/doc_downloads/2023/Visa-Inc-Fiscal-2023-Annual-Report.pdf</x:v>
      </x:c>
      <x:c r="N47" s="2"/>
    </x:row>
    <x:row r="48" ht="23" customHeight="1">
      <x:c r="A48" s="2" t="str">
        <x:v>visa</x:v>
      </x:c>
      <x:c r="B48" s="2" t="n">
        <x:v>2023</x:v>
      </x:c>
      <x:c r="C48" s="2" t="str">
        <x:v>total_liabilities</x:v>
      </x:c>
      <x:c r="D48" s="7"/>
      <x:c r="E48" s="7" t="d">
        <x:v>2023-09-30T00:00:00.000Z</x:v>
      </x:c>
      <x:c r="F48" s="10" t="n">
        <x:v>51766000000</x:v>
      </x:c>
      <x:c r="G48" s="2" t="str">
        <x:v>USD</x:v>
      </x:c>
      <x:c r="H48" s="2" t="n">
        <x:v>66</x:v>
      </x:c>
      <x:c r="I48" s="2" t="str">
        <x:v>0001403161-23-000099</x:v>
      </x:c>
      <x:c r="J48" s="2" t="str">
        <x:v>Visa FY2023 annual report, PDF p66</x:v>
      </x:c>
      <x:c r="K48" s="2" t="str">
        <x:f>A48&amp;"|"&amp;B48&amp;"|"&amp;C48</x:f>
        <x:v>visa|2023|total_liabilities</x:v>
      </x:c>
      <x:c r="L48" s="2"/>
      <x:c r="M48" s="2" t="str">
        <x:f>_xlfn.XLOOKUP(I48,$I$169:$I$174,$M$169:$M$174,"n.a.",0)</x:f>
        <x:v>https://s29.q4cdn.com/385744025/files/doc_downloads/2023/Visa-Inc-Fiscal-2023-Annual-Report.pdf</x:v>
      </x:c>
      <x:c r="N48" s="2"/>
    </x:row>
    <x:row r="49" ht="23" customHeight="1">
      <x:c r="A49" s="2" t="str">
        <x:v>visa</x:v>
      </x:c>
      <x:c r="B49" s="2" t="n">
        <x:v>2023</x:v>
      </x:c>
      <x:c r="C49" s="2" t="str">
        <x:v>total_equity</x:v>
      </x:c>
      <x:c r="D49" s="7"/>
      <x:c r="E49" s="7" t="d">
        <x:v>2023-09-30T00:00:00.000Z</x:v>
      </x:c>
      <x:c r="F49" s="10" t="n">
        <x:v>38733000000</x:v>
      </x:c>
      <x:c r="G49" s="2" t="str">
        <x:v>USD</x:v>
      </x:c>
      <x:c r="H49" s="2" t="n">
        <x:v>66</x:v>
      </x:c>
      <x:c r="I49" s="2" t="str">
        <x:v>0001403161-23-000099</x:v>
      </x:c>
      <x:c r="J49" s="2" t="str">
        <x:v>Visa FY2023 annual report, PDF p66</x:v>
      </x:c>
      <x:c r="K49" s="2" t="str">
        <x:f>A49&amp;"|"&amp;B49&amp;"|"&amp;C49</x:f>
        <x:v>visa|2023|total_equity</x:v>
      </x:c>
      <x:c r="L49" s="2"/>
      <x:c r="M49" s="2" t="str">
        <x:f>_xlfn.XLOOKUP(I49,$I$169:$I$174,$M$169:$M$174,"n.a.",0)</x:f>
        <x:v>https://s29.q4cdn.com/385744025/files/doc_downloads/2023/Visa-Inc-Fiscal-2023-Annual-Report.pdf</x:v>
      </x:c>
      <x:c r="N49" s="2"/>
    </x:row>
    <x:row r="50" ht="23" customHeight="1">
      <x:c r="A50" s="2" t="str">
        <x:v>visa</x:v>
      </x:c>
      <x:c r="B50" s="2" t="n">
        <x:v>2023</x:v>
      </x:c>
      <x:c r="C50" s="2" t="str">
        <x:v>cash_flow_total_end</x:v>
      </x:c>
      <x:c r="D50" s="7"/>
      <x:c r="E50" s="7" t="d">
        <x:v>2023-09-30T00:00:00.000Z</x:v>
      </x:c>
      <x:c r="F50" s="10" t="n">
        <x:v>21990000000</x:v>
      </x:c>
      <x:c r="G50" s="2" t="str">
        <x:v>USD</x:v>
      </x:c>
      <x:c r="H50" s="2" t="n">
        <x:v>80</x:v>
      </x:c>
      <x:c r="I50" s="2" t="str">
        <x:v>0001403161-25-000089</x:v>
      </x:c>
      <x:c r="J50" s="2" t="str">
        <x:v>Visa FY2025 annual report, PDF p80</x:v>
      </x:c>
      <x:c r="K50" s="2" t="str">
        <x:f>A50&amp;"|"&amp;B50&amp;"|"&amp;C50</x:f>
        <x:v>visa|2023|cash_flow_total_end</x:v>
      </x:c>
      <x:c r="L50" s="2"/>
      <x:c r="M50" s="2" t="str">
        <x:f>_xlfn.XLOOKUP(I50,$I$169:$I$174,$M$169:$M$174,"n.a.",0)</x:f>
        <x:v>https://s29.q4cdn.com/385744025/files/doc_downloads/2025/Visa-Fiscal-2025-Annual-Report.pdf</x:v>
      </x:c>
      <x:c r="N50" s="2"/>
    </x:row>
    <x:row r="51" ht="23" customHeight="1">
      <x:c r="A51" s="2" t="str">
        <x:v>visa</x:v>
      </x:c>
      <x:c r="B51" s="2" t="n">
        <x:v>2024</x:v>
      </x:c>
      <x:c r="C51" s="2" t="str">
        <x:v>net_revenue</x:v>
      </x:c>
      <x:c r="D51" s="7" t="d">
        <x:v>2023-10-01T00:00:00.000Z</x:v>
      </x:c>
      <x:c r="E51" s="7" t="d">
        <x:v>2024-09-30T00:00:00.000Z</x:v>
      </x:c>
      <x:c r="F51" s="10" t="n">
        <x:v>35926000000</x:v>
      </x:c>
      <x:c r="G51" s="2" t="str">
        <x:v>USD</x:v>
      </x:c>
      <x:c r="H51" s="2" t="n">
        <x:v>75</x:v>
      </x:c>
      <x:c r="I51" s="2" t="str">
        <x:v>0001403161-25-000089</x:v>
      </x:c>
      <x:c r="J51" s="2" t="str">
        <x:v>Visa FY2025 annual report, PDF p75</x:v>
      </x:c>
      <x:c r="K51" s="2" t="str">
        <x:f>A51&amp;"|"&amp;B51&amp;"|"&amp;C51</x:f>
        <x:v>visa|2024|net_revenue</x:v>
      </x:c>
      <x:c r="L51" s="2"/>
      <x:c r="M51" s="2" t="str">
        <x:f>_xlfn.XLOOKUP(I51,$I$169:$I$174,$M$169:$M$174,"n.a.",0)</x:f>
        <x:v>https://s29.q4cdn.com/385744025/files/doc_downloads/2025/Visa-Fiscal-2025-Annual-Report.pdf</x:v>
      </x:c>
      <x:c r="N51" s="2"/>
    </x:row>
    <x:row r="52" ht="23" customHeight="1">
      <x:c r="A52" s="2" t="str">
        <x:v>visa</x:v>
      </x:c>
      <x:c r="B52" s="2" t="n">
        <x:v>2024</x:v>
      </x:c>
      <x:c r="C52" s="2" t="str">
        <x:v>operating_expenses</x:v>
      </x:c>
      <x:c r="D52" s="7" t="d">
        <x:v>2023-10-01T00:00:00.000Z</x:v>
      </x:c>
      <x:c r="E52" s="7" t="d">
        <x:v>2024-09-30T00:00:00.000Z</x:v>
      </x:c>
      <x:c r="F52" s="10" t="n">
        <x:v>12331000000</x:v>
      </x:c>
      <x:c r="G52" s="2" t="str">
        <x:v>USD</x:v>
      </x:c>
      <x:c r="H52" s="2" t="n">
        <x:v>75</x:v>
      </x:c>
      <x:c r="I52" s="2" t="str">
        <x:v>0001403161-25-000089</x:v>
      </x:c>
      <x:c r="J52" s="2" t="str">
        <x:v>Visa FY2025 annual report, PDF p75</x:v>
      </x:c>
      <x:c r="K52" s="2" t="str">
        <x:f>A52&amp;"|"&amp;B52&amp;"|"&amp;C52</x:f>
        <x:v>visa|2024|operating_expenses</x:v>
      </x:c>
      <x:c r="L52" s="2"/>
      <x:c r="M52" s="2" t="str">
        <x:f>_xlfn.XLOOKUP(I52,$I$169:$I$174,$M$169:$M$174,"n.a.",0)</x:f>
        <x:v>https://s29.q4cdn.com/385744025/files/doc_downloads/2025/Visa-Fiscal-2025-Annual-Report.pdf</x:v>
      </x:c>
      <x:c r="N52" s="2"/>
    </x:row>
    <x:row r="53" ht="23" customHeight="1">
      <x:c r="A53" s="2" t="str">
        <x:v>visa</x:v>
      </x:c>
      <x:c r="B53" s="2" t="n">
        <x:v>2024</x:v>
      </x:c>
      <x:c r="C53" s="2" t="str">
        <x:v>operating_income</x:v>
      </x:c>
      <x:c r="D53" s="7" t="d">
        <x:v>2023-10-01T00:00:00.000Z</x:v>
      </x:c>
      <x:c r="E53" s="7" t="d">
        <x:v>2024-09-30T00:00:00.000Z</x:v>
      </x:c>
      <x:c r="F53" s="10" t="n">
        <x:v>23595000000</x:v>
      </x:c>
      <x:c r="G53" s="2" t="str">
        <x:v>USD</x:v>
      </x:c>
      <x:c r="H53" s="2" t="n">
        <x:v>75</x:v>
      </x:c>
      <x:c r="I53" s="2" t="str">
        <x:v>0001403161-25-000089</x:v>
      </x:c>
      <x:c r="J53" s="2" t="str">
        <x:v>Visa FY2025 annual report, PDF p75</x:v>
      </x:c>
      <x:c r="K53" s="2" t="str">
        <x:f>A53&amp;"|"&amp;B53&amp;"|"&amp;C53</x:f>
        <x:v>visa|2024|operating_income</x:v>
      </x:c>
      <x:c r="L53" s="2"/>
      <x:c r="M53" s="2" t="str">
        <x:f>_xlfn.XLOOKUP(I53,$I$169:$I$174,$M$169:$M$174,"n.a.",0)</x:f>
        <x:v>https://s29.q4cdn.com/385744025/files/doc_downloads/2025/Visa-Fiscal-2025-Annual-Report.pdf</x:v>
      </x:c>
      <x:c r="N53" s="2"/>
    </x:row>
    <x:row r="54" ht="23" customHeight="1">
      <x:c r="A54" s="2" t="str">
        <x:v>visa</x:v>
      </x:c>
      <x:c r="B54" s="2" t="n">
        <x:v>2024</x:v>
      </x:c>
      <x:c r="C54" s="2" t="str">
        <x:v>pretax_income</x:v>
      </x:c>
      <x:c r="D54" s="7" t="d">
        <x:v>2023-10-01T00:00:00.000Z</x:v>
      </x:c>
      <x:c r="E54" s="7" t="d">
        <x:v>2024-09-30T00:00:00.000Z</x:v>
      </x:c>
      <x:c r="F54" s="10" t="n">
        <x:v>23916000000</x:v>
      </x:c>
      <x:c r="G54" s="2" t="str">
        <x:v>USD</x:v>
      </x:c>
      <x:c r="H54" s="2" t="n">
        <x:v>75</x:v>
      </x:c>
      <x:c r="I54" s="2" t="str">
        <x:v>0001403161-25-000089</x:v>
      </x:c>
      <x:c r="J54" s="2" t="str">
        <x:v>Visa FY2025 annual report, PDF p75</x:v>
      </x:c>
      <x:c r="K54" s="2" t="str">
        <x:f>A54&amp;"|"&amp;B54&amp;"|"&amp;C54</x:f>
        <x:v>visa|2024|pretax_income</x:v>
      </x:c>
      <x:c r="L54" s="2"/>
      <x:c r="M54" s="2" t="str">
        <x:f>_xlfn.XLOOKUP(I54,$I$169:$I$174,$M$169:$M$174,"n.a.",0)</x:f>
        <x:v>https://s29.q4cdn.com/385744025/files/doc_downloads/2025/Visa-Fiscal-2025-Annual-Report.pdf</x:v>
      </x:c>
      <x:c r="N54" s="2"/>
    </x:row>
    <x:row r="55" ht="23" customHeight="1">
      <x:c r="A55" s="2" t="str">
        <x:v>visa</x:v>
      </x:c>
      <x:c r="B55" s="2" t="n">
        <x:v>2024</x:v>
      </x:c>
      <x:c r="C55" s="2" t="str">
        <x:v>income_tax</x:v>
      </x:c>
      <x:c r="D55" s="7" t="d">
        <x:v>2023-10-01T00:00:00.000Z</x:v>
      </x:c>
      <x:c r="E55" s="7" t="d">
        <x:v>2024-09-30T00:00:00.000Z</x:v>
      </x:c>
      <x:c r="F55" s="10" t="n">
        <x:v>4173000000</x:v>
      </x:c>
      <x:c r="G55" s="2" t="str">
        <x:v>USD</x:v>
      </x:c>
      <x:c r="H55" s="2" t="n">
        <x:v>75</x:v>
      </x:c>
      <x:c r="I55" s="2" t="str">
        <x:v>0001403161-25-000089</x:v>
      </x:c>
      <x:c r="J55" s="2" t="str">
        <x:v>Visa FY2025 annual report, PDF p75</x:v>
      </x:c>
      <x:c r="K55" s="2" t="str">
        <x:f>A55&amp;"|"&amp;B55&amp;"|"&amp;C55</x:f>
        <x:v>visa|2024|income_tax</x:v>
      </x:c>
      <x:c r="L55" s="2"/>
      <x:c r="M55" s="2" t="str">
        <x:f>_xlfn.XLOOKUP(I55,$I$169:$I$174,$M$169:$M$174,"n.a.",0)</x:f>
        <x:v>https://s29.q4cdn.com/385744025/files/doc_downloads/2025/Visa-Fiscal-2025-Annual-Report.pdf</x:v>
      </x:c>
      <x:c r="N55" s="2"/>
    </x:row>
    <x:row r="56" ht="23" customHeight="1">
      <x:c r="A56" s="2" t="str">
        <x:v>visa</x:v>
      </x:c>
      <x:c r="B56" s="2" t="n">
        <x:v>2024</x:v>
      </x:c>
      <x:c r="C56" s="2" t="str">
        <x:v>net_income</x:v>
      </x:c>
      <x:c r="D56" s="7" t="d">
        <x:v>2023-10-01T00:00:00.000Z</x:v>
      </x:c>
      <x:c r="E56" s="7" t="d">
        <x:v>2024-09-30T00:00:00.000Z</x:v>
      </x:c>
      <x:c r="F56" s="10" t="n">
        <x:v>19743000000</x:v>
      </x:c>
      <x:c r="G56" s="2" t="str">
        <x:v>USD</x:v>
      </x:c>
      <x:c r="H56" s="2" t="n">
        <x:v>75</x:v>
      </x:c>
      <x:c r="I56" s="2" t="str">
        <x:v>0001403161-25-000089</x:v>
      </x:c>
      <x:c r="J56" s="2" t="str">
        <x:v>Visa FY2025 annual report, PDF p75</x:v>
      </x:c>
      <x:c r="K56" s="2" t="str">
        <x:f>A56&amp;"|"&amp;B56&amp;"|"&amp;C56</x:f>
        <x:v>visa|2024|net_income</x:v>
      </x:c>
      <x:c r="L56" s="2"/>
      <x:c r="M56" s="2" t="str">
        <x:f>_xlfn.XLOOKUP(I56,$I$169:$I$174,$M$169:$M$174,"n.a.",0)</x:f>
        <x:v>https://s29.q4cdn.com/385744025/files/doc_downloads/2025/Visa-Fiscal-2025-Annual-Report.pdf</x:v>
      </x:c>
      <x:c r="N56" s="2"/>
    </x:row>
    <x:row r="57" ht="23" customHeight="1">
      <x:c r="A57" s="2" t="str">
        <x:v>visa</x:v>
      </x:c>
      <x:c r="B57" s="2" t="n">
        <x:v>2024</x:v>
      </x:c>
      <x:c r="C57" s="2" t="str">
        <x:v>operating_cash_flow</x:v>
      </x:c>
      <x:c r="D57" s="7" t="d">
        <x:v>2023-10-01T00:00:00.000Z</x:v>
      </x:c>
      <x:c r="E57" s="7" t="d">
        <x:v>2024-09-30T00:00:00.000Z</x:v>
      </x:c>
      <x:c r="F57" s="10" t="n">
        <x:v>19950000000</x:v>
      </x:c>
      <x:c r="G57" s="2" t="str">
        <x:v>USD</x:v>
      </x:c>
      <x:c r="H57" s="2" t="n">
        <x:v>80</x:v>
      </x:c>
      <x:c r="I57" s="2" t="str">
        <x:v>0001403161-25-000089</x:v>
      </x:c>
      <x:c r="J57" s="2" t="str">
        <x:v>Visa FY2025 annual report, PDF p80</x:v>
      </x:c>
      <x:c r="K57" s="2" t="str">
        <x:f>A57&amp;"|"&amp;B57&amp;"|"&amp;C57</x:f>
        <x:v>visa|2024|operating_cash_flow</x:v>
      </x:c>
      <x:c r="L57" s="2"/>
      <x:c r="M57" s="2" t="str">
        <x:f>_xlfn.XLOOKUP(I57,$I$169:$I$174,$M$169:$M$174,"n.a.",0)</x:f>
        <x:v>https://s29.q4cdn.com/385744025/files/doc_downloads/2025/Visa-Fiscal-2025-Annual-Report.pdf</x:v>
      </x:c>
      <x:c r="N57" s="2"/>
    </x:row>
    <x:row r="58" ht="23" customHeight="1">
      <x:c r="A58" s="2" t="str">
        <x:v>visa</x:v>
      </x:c>
      <x:c r="B58" s="2" t="n">
        <x:v>2024</x:v>
      </x:c>
      <x:c r="C58" s="2" t="str">
        <x:v>capital_payments_primary</x:v>
      </x:c>
      <x:c r="D58" s="7" t="d">
        <x:v>2023-10-01T00:00:00.000Z</x:v>
      </x:c>
      <x:c r="E58" s="7" t="d">
        <x:v>2024-09-30T00:00:00.000Z</x:v>
      </x:c>
      <x:c r="F58" s="10" t="n">
        <x:v>1257000000</x:v>
      </x:c>
      <x:c r="G58" s="2" t="str">
        <x:v>USD</x:v>
      </x:c>
      <x:c r="H58" s="2" t="n">
        <x:v>80</x:v>
      </x:c>
      <x:c r="I58" s="2" t="str">
        <x:v>0001403161-25-000089</x:v>
      </x:c>
      <x:c r="J58" s="2" t="str">
        <x:v>Visa FY2025 annual report, PDF p80</x:v>
      </x:c>
      <x:c r="K58" s="2" t="str">
        <x:f>A58&amp;"|"&amp;B58&amp;"|"&amp;C58</x:f>
        <x:v>visa|2024|capital_payments_primary</x:v>
      </x:c>
      <x:c r="L58" s="2"/>
      <x:c r="M58" s="2" t="str">
        <x:f>_xlfn.XLOOKUP(I58,$I$169:$I$174,$M$169:$M$174,"n.a.",0)</x:f>
        <x:v>https://s29.q4cdn.com/385744025/files/doc_downloads/2025/Visa-Fiscal-2025-Annual-Report.pdf</x:v>
      </x:c>
      <x:c r="N58" s="2"/>
    </x:row>
    <x:row r="59" ht="23" customHeight="1">
      <x:c r="A59" s="2" t="str">
        <x:v>visa</x:v>
      </x:c>
      <x:c r="B59" s="2" t="n">
        <x:v>2024</x:v>
      </x:c>
      <x:c r="C59" s="2" t="str">
        <x:v>cash_and_cash_equivalents</x:v>
      </x:c>
      <x:c r="D59" s="7"/>
      <x:c r="E59" s="7" t="d">
        <x:v>2024-09-30T00:00:00.000Z</x:v>
      </x:c>
      <x:c r="F59" s="10" t="n">
        <x:v>11975000000</x:v>
      </x:c>
      <x:c r="G59" s="2" t="str">
        <x:v>USD</x:v>
      </x:c>
      <x:c r="H59" s="2" t="n">
        <x:v>74</x:v>
      </x:c>
      <x:c r="I59" s="2" t="str">
        <x:v>0001403161-25-000089</x:v>
      </x:c>
      <x:c r="J59" s="2" t="str">
        <x:v>Visa FY2025 annual report, PDF p74</x:v>
      </x:c>
      <x:c r="K59" s="2" t="str">
        <x:f>A59&amp;"|"&amp;B59&amp;"|"&amp;C59</x:f>
        <x:v>visa|2024|cash_and_cash_equivalents</x:v>
      </x:c>
      <x:c r="L59" s="2"/>
      <x:c r="M59" s="2" t="str">
        <x:f>_xlfn.XLOOKUP(I59,$I$169:$I$174,$M$169:$M$174,"n.a.",0)</x:f>
        <x:v>https://s29.q4cdn.com/385744025/files/doc_downloads/2025/Visa-Fiscal-2025-Annual-Report.pdf</x:v>
      </x:c>
      <x:c r="N59" s="2"/>
    </x:row>
    <x:row r="60" ht="23" customHeight="1">
      <x:c r="A60" s="2" t="str">
        <x:v>visa</x:v>
      </x:c>
      <x:c r="B60" s="2" t="n">
        <x:v>2024</x:v>
      </x:c>
      <x:c r="C60" s="2" t="str">
        <x:v>current_debt</x:v>
      </x:c>
      <x:c r="D60" s="7"/>
      <x:c r="E60" s="7" t="d">
        <x:v>2024-09-30T00:00:00.000Z</x:v>
      </x:c>
      <x:c r="F60" s="10" t="n">
        <x:v>0</x:v>
      </x:c>
      <x:c r="G60" s="2" t="str">
        <x:v>USD</x:v>
      </x:c>
      <x:c r="H60" s="2" t="n">
        <x:v>74</x:v>
      </x:c>
      <x:c r="I60" s="2" t="str">
        <x:v>0001403161-25-000089</x:v>
      </x:c>
      <x:c r="J60" s="2" t="str">
        <x:v>Visa FY2025 annual report, PDF p74</x:v>
      </x:c>
      <x:c r="K60" s="2" t="str">
        <x:f>A60&amp;"|"&amp;B60&amp;"|"&amp;C60</x:f>
        <x:v>visa|2024|current_debt</x:v>
      </x:c>
      <x:c r="L60" s="2"/>
      <x:c r="M60" s="2" t="str">
        <x:f>_xlfn.XLOOKUP(I60,$I$169:$I$174,$M$169:$M$174,"n.a.",0)</x:f>
        <x:v>https://s29.q4cdn.com/385744025/files/doc_downloads/2025/Visa-Fiscal-2025-Annual-Report.pdf</x:v>
      </x:c>
      <x:c r="N60" s="2"/>
    </x:row>
    <x:row r="61" ht="23" customHeight="1">
      <x:c r="A61" s="2" t="str">
        <x:v>visa</x:v>
      </x:c>
      <x:c r="B61" s="2" t="n">
        <x:v>2024</x:v>
      </x:c>
      <x:c r="C61" s="2" t="str">
        <x:v>noncurrent_debt</x:v>
      </x:c>
      <x:c r="D61" s="7"/>
      <x:c r="E61" s="7" t="d">
        <x:v>2024-09-30T00:00:00.000Z</x:v>
      </x:c>
      <x:c r="F61" s="10" t="n">
        <x:v>20836000000</x:v>
      </x:c>
      <x:c r="G61" s="2" t="str">
        <x:v>USD</x:v>
      </x:c>
      <x:c r="H61" s="2" t="n">
        <x:v>74</x:v>
      </x:c>
      <x:c r="I61" s="2" t="str">
        <x:v>0001403161-25-000089</x:v>
      </x:c>
      <x:c r="J61" s="2" t="str">
        <x:v>Visa FY2025 annual report, PDF p74</x:v>
      </x:c>
      <x:c r="K61" s="2" t="str">
        <x:f>A61&amp;"|"&amp;B61&amp;"|"&amp;C61</x:f>
        <x:v>visa|2024|noncurrent_debt</x:v>
      </x:c>
      <x:c r="L61" s="2"/>
      <x:c r="M61" s="2" t="str">
        <x:f>_xlfn.XLOOKUP(I61,$I$169:$I$174,$M$169:$M$174,"n.a.",0)</x:f>
        <x:v>https://s29.q4cdn.com/385744025/files/doc_downloads/2025/Visa-Fiscal-2025-Annual-Report.pdf</x:v>
      </x:c>
      <x:c r="N61" s="2"/>
    </x:row>
    <x:row r="62" ht="23" customHeight="1">
      <x:c r="A62" s="2" t="str">
        <x:v>visa</x:v>
      </x:c>
      <x:c r="B62" s="2" t="n">
        <x:v>2024</x:v>
      </x:c>
      <x:c r="C62" s="2" t="str">
        <x:v>total_assets</x:v>
      </x:c>
      <x:c r="D62" s="7"/>
      <x:c r="E62" s="7" t="d">
        <x:v>2024-09-30T00:00:00.000Z</x:v>
      </x:c>
      <x:c r="F62" s="10" t="n">
        <x:v>94511000000</x:v>
      </x:c>
      <x:c r="G62" s="2" t="str">
        <x:v>USD</x:v>
      </x:c>
      <x:c r="H62" s="2" t="n">
        <x:v>74</x:v>
      </x:c>
      <x:c r="I62" s="2" t="str">
        <x:v>0001403161-25-000089</x:v>
      </x:c>
      <x:c r="J62" s="2" t="str">
        <x:v>Visa FY2025 annual report, PDF p74</x:v>
      </x:c>
      <x:c r="K62" s="2" t="str">
        <x:f>A62&amp;"|"&amp;B62&amp;"|"&amp;C62</x:f>
        <x:v>visa|2024|total_assets</x:v>
      </x:c>
      <x:c r="L62" s="2"/>
      <x:c r="M62" s="2" t="str">
        <x:f>_xlfn.XLOOKUP(I62,$I$169:$I$174,$M$169:$M$174,"n.a.",0)</x:f>
        <x:v>https://s29.q4cdn.com/385744025/files/doc_downloads/2025/Visa-Fiscal-2025-Annual-Report.pdf</x:v>
      </x:c>
      <x:c r="N62" s="2"/>
    </x:row>
    <x:row r="63" ht="23" customHeight="1">
      <x:c r="A63" s="2" t="str">
        <x:v>visa</x:v>
      </x:c>
      <x:c r="B63" s="2" t="n">
        <x:v>2024</x:v>
      </x:c>
      <x:c r="C63" s="2" t="str">
        <x:v>total_liabilities</x:v>
      </x:c>
      <x:c r="D63" s="7"/>
      <x:c r="E63" s="7" t="d">
        <x:v>2024-09-30T00:00:00.000Z</x:v>
      </x:c>
      <x:c r="F63" s="10" t="n">
        <x:v>55374000000</x:v>
      </x:c>
      <x:c r="G63" s="2" t="str">
        <x:v>USD</x:v>
      </x:c>
      <x:c r="H63" s="2" t="n">
        <x:v>74</x:v>
      </x:c>
      <x:c r="I63" s="2" t="str">
        <x:v>0001403161-25-000089</x:v>
      </x:c>
      <x:c r="J63" s="2" t="str">
        <x:v>Visa FY2025 annual report, PDF p74</x:v>
      </x:c>
      <x:c r="K63" s="2" t="str">
        <x:f>A63&amp;"|"&amp;B63&amp;"|"&amp;C63</x:f>
        <x:v>visa|2024|total_liabilities</x:v>
      </x:c>
      <x:c r="L63" s="2"/>
      <x:c r="M63" s="2" t="str">
        <x:f>_xlfn.XLOOKUP(I63,$I$169:$I$174,$M$169:$M$174,"n.a.",0)</x:f>
        <x:v>https://s29.q4cdn.com/385744025/files/doc_downloads/2025/Visa-Fiscal-2025-Annual-Report.pdf</x:v>
      </x:c>
      <x:c r="N63" s="2"/>
    </x:row>
    <x:row r="64" ht="23" customHeight="1">
      <x:c r="A64" s="2" t="str">
        <x:v>visa</x:v>
      </x:c>
      <x:c r="B64" s="2" t="n">
        <x:v>2024</x:v>
      </x:c>
      <x:c r="C64" s="2" t="str">
        <x:v>total_equity</x:v>
      </x:c>
      <x:c r="D64" s="7"/>
      <x:c r="E64" s="7" t="d">
        <x:v>2024-09-30T00:00:00.000Z</x:v>
      </x:c>
      <x:c r="F64" s="10" t="n">
        <x:v>39137000000</x:v>
      </x:c>
      <x:c r="G64" s="2" t="str">
        <x:v>USD</x:v>
      </x:c>
      <x:c r="H64" s="2" t="n">
        <x:v>74</x:v>
      </x:c>
      <x:c r="I64" s="2" t="str">
        <x:v>0001403161-25-000089</x:v>
      </x:c>
      <x:c r="J64" s="2" t="str">
        <x:v>Visa FY2025 annual report, PDF p74</x:v>
      </x:c>
      <x:c r="K64" s="2" t="str">
        <x:f>A64&amp;"|"&amp;B64&amp;"|"&amp;C64</x:f>
        <x:v>visa|2024|total_equity</x:v>
      </x:c>
      <x:c r="L64" s="2"/>
      <x:c r="M64" s="2" t="str">
        <x:f>_xlfn.XLOOKUP(I64,$I$169:$I$174,$M$169:$M$174,"n.a.",0)</x:f>
        <x:v>https://s29.q4cdn.com/385744025/files/doc_downloads/2025/Visa-Fiscal-2025-Annual-Report.pdf</x:v>
      </x:c>
      <x:c r="N64" s="2"/>
    </x:row>
    <x:row r="65" ht="23" customHeight="1">
      <x:c r="A65" s="2" t="str">
        <x:v>visa</x:v>
      </x:c>
      <x:c r="B65" s="2" t="n">
        <x:v>2024</x:v>
      </x:c>
      <x:c r="C65" s="2" t="str">
        <x:v>cash_flow_total_end</x:v>
      </x:c>
      <x:c r="D65" s="7"/>
      <x:c r="E65" s="7" t="d">
        <x:v>2024-09-30T00:00:00.000Z</x:v>
      </x:c>
      <x:c r="F65" s="10" t="n">
        <x:v>19763000000</x:v>
      </x:c>
      <x:c r="G65" s="2" t="str">
        <x:v>USD</x:v>
      </x:c>
      <x:c r="H65" s="2" t="n">
        <x:v>80</x:v>
      </x:c>
      <x:c r="I65" s="2" t="str">
        <x:v>0001403161-25-000089</x:v>
      </x:c>
      <x:c r="J65" s="2" t="str">
        <x:v>Visa FY2025 annual report, PDF p80</x:v>
      </x:c>
      <x:c r="K65" s="2" t="str">
        <x:f>A65&amp;"|"&amp;B65&amp;"|"&amp;C65</x:f>
        <x:v>visa|2024|cash_flow_total_end</x:v>
      </x:c>
      <x:c r="L65" s="2"/>
      <x:c r="M65" s="2" t="str">
        <x:f>_xlfn.XLOOKUP(I65,$I$169:$I$174,$M$169:$M$174,"n.a.",0)</x:f>
        <x:v>https://s29.q4cdn.com/385744025/files/doc_downloads/2025/Visa-Fiscal-2025-Annual-Report.pdf</x:v>
      </x:c>
      <x:c r="N65" s="2"/>
    </x:row>
    <x:row r="66" ht="23" customHeight="1">
      <x:c r="A66" s="2" t="str">
        <x:v>visa</x:v>
      </x:c>
      <x:c r="B66" s="2" t="n">
        <x:v>2025</x:v>
      </x:c>
      <x:c r="C66" s="2" t="str">
        <x:v>net_revenue</x:v>
      </x:c>
      <x:c r="D66" s="7" t="d">
        <x:v>2024-10-01T00:00:00.000Z</x:v>
      </x:c>
      <x:c r="E66" s="7" t="d">
        <x:v>2025-09-30T00:00:00.000Z</x:v>
      </x:c>
      <x:c r="F66" s="10" t="n">
        <x:v>40000000000</x:v>
      </x:c>
      <x:c r="G66" s="2" t="str">
        <x:v>USD</x:v>
      </x:c>
      <x:c r="H66" s="2" t="n">
        <x:v>75</x:v>
      </x:c>
      <x:c r="I66" s="2" t="str">
        <x:v>0001403161-25-000089</x:v>
      </x:c>
      <x:c r="J66" s="2" t="str">
        <x:v>Visa FY2025 annual report, PDF p75</x:v>
      </x:c>
      <x:c r="K66" s="2" t="str">
        <x:f>A66&amp;"|"&amp;B66&amp;"|"&amp;C66</x:f>
        <x:v>visa|2025|net_revenue</x:v>
      </x:c>
      <x:c r="L66" s="2"/>
      <x:c r="M66" s="2" t="str">
        <x:f>_xlfn.XLOOKUP(I66,$I$169:$I$174,$M$169:$M$174,"n.a.",0)</x:f>
        <x:v>https://s29.q4cdn.com/385744025/files/doc_downloads/2025/Visa-Fiscal-2025-Annual-Report.pdf</x:v>
      </x:c>
      <x:c r="N66" s="2"/>
    </x:row>
    <x:row r="67" ht="23" customHeight="1">
      <x:c r="A67" s="2" t="str">
        <x:v>visa</x:v>
      </x:c>
      <x:c r="B67" s="2" t="n">
        <x:v>2025</x:v>
      </x:c>
      <x:c r="C67" s="2" t="str">
        <x:v>operating_expenses</x:v>
      </x:c>
      <x:c r="D67" s="7" t="d">
        <x:v>2024-10-01T00:00:00.000Z</x:v>
      </x:c>
      <x:c r="E67" s="7" t="d">
        <x:v>2025-09-30T00:00:00.000Z</x:v>
      </x:c>
      <x:c r="F67" s="10" t="n">
        <x:v>16006000000</x:v>
      </x:c>
      <x:c r="G67" s="2" t="str">
        <x:v>USD</x:v>
      </x:c>
      <x:c r="H67" s="2" t="n">
        <x:v>75</x:v>
      </x:c>
      <x:c r="I67" s="2" t="str">
        <x:v>0001403161-25-000089</x:v>
      </x:c>
      <x:c r="J67" s="2" t="str">
        <x:v>Visa FY2025 annual report, PDF p75</x:v>
      </x:c>
      <x:c r="K67" s="2" t="str">
        <x:f>A67&amp;"|"&amp;B67&amp;"|"&amp;C67</x:f>
        <x:v>visa|2025|operating_expenses</x:v>
      </x:c>
      <x:c r="L67" s="2"/>
      <x:c r="M67" s="2" t="str">
        <x:f>_xlfn.XLOOKUP(I67,$I$169:$I$174,$M$169:$M$174,"n.a.",0)</x:f>
        <x:v>https://s29.q4cdn.com/385744025/files/doc_downloads/2025/Visa-Fiscal-2025-Annual-Report.pdf</x:v>
      </x:c>
      <x:c r="N67" s="2"/>
    </x:row>
    <x:row r="68" ht="23" customHeight="1">
      <x:c r="A68" s="2" t="str">
        <x:v>visa</x:v>
      </x:c>
      <x:c r="B68" s="2" t="n">
        <x:v>2025</x:v>
      </x:c>
      <x:c r="C68" s="2" t="str">
        <x:v>operating_income</x:v>
      </x:c>
      <x:c r="D68" s="7" t="d">
        <x:v>2024-10-01T00:00:00.000Z</x:v>
      </x:c>
      <x:c r="E68" s="7" t="d">
        <x:v>2025-09-30T00:00:00.000Z</x:v>
      </x:c>
      <x:c r="F68" s="10" t="n">
        <x:v>23994000000</x:v>
      </x:c>
      <x:c r="G68" s="2" t="str">
        <x:v>USD</x:v>
      </x:c>
      <x:c r="H68" s="2" t="n">
        <x:v>75</x:v>
      </x:c>
      <x:c r="I68" s="2" t="str">
        <x:v>0001403161-25-000089</x:v>
      </x:c>
      <x:c r="J68" s="2" t="str">
        <x:v>Visa FY2025 annual report, PDF p75</x:v>
      </x:c>
      <x:c r="K68" s="2" t="str">
        <x:f>A68&amp;"|"&amp;B68&amp;"|"&amp;C68</x:f>
        <x:v>visa|2025|operating_income</x:v>
      </x:c>
      <x:c r="L68" s="2"/>
      <x:c r="M68" s="2" t="str">
        <x:f>_xlfn.XLOOKUP(I68,$I$169:$I$174,$M$169:$M$174,"n.a.",0)</x:f>
        <x:v>https://s29.q4cdn.com/385744025/files/doc_downloads/2025/Visa-Fiscal-2025-Annual-Report.pdf</x:v>
      </x:c>
      <x:c r="N68" s="2"/>
    </x:row>
    <x:row r="69" ht="23" customHeight="1">
      <x:c r="A69" s="2" t="str">
        <x:v>visa</x:v>
      </x:c>
      <x:c r="B69" s="2" t="n">
        <x:v>2025</x:v>
      </x:c>
      <x:c r="C69" s="2" t="str">
        <x:v>pretax_income</x:v>
      </x:c>
      <x:c r="D69" s="7" t="d">
        <x:v>2024-10-01T00:00:00.000Z</x:v>
      </x:c>
      <x:c r="E69" s="7" t="d">
        <x:v>2025-09-30T00:00:00.000Z</x:v>
      </x:c>
      <x:c r="F69" s="10" t="n">
        <x:v>24194000000</x:v>
      </x:c>
      <x:c r="G69" s="2" t="str">
        <x:v>USD</x:v>
      </x:c>
      <x:c r="H69" s="2" t="n">
        <x:v>75</x:v>
      </x:c>
      <x:c r="I69" s="2" t="str">
        <x:v>0001403161-25-000089</x:v>
      </x:c>
      <x:c r="J69" s="2" t="str">
        <x:v>Visa FY2025 annual report, PDF p75</x:v>
      </x:c>
      <x:c r="K69" s="2" t="str">
        <x:f>A69&amp;"|"&amp;B69&amp;"|"&amp;C69</x:f>
        <x:v>visa|2025|pretax_income</x:v>
      </x:c>
      <x:c r="L69" s="2"/>
      <x:c r="M69" s="2" t="str">
        <x:f>_xlfn.XLOOKUP(I69,$I$169:$I$174,$M$169:$M$174,"n.a.",0)</x:f>
        <x:v>https://s29.q4cdn.com/385744025/files/doc_downloads/2025/Visa-Fiscal-2025-Annual-Report.pdf</x:v>
      </x:c>
      <x:c r="N69" s="2"/>
    </x:row>
    <x:row r="70" ht="23" customHeight="1">
      <x:c r="A70" s="2" t="str">
        <x:v>visa</x:v>
      </x:c>
      <x:c r="B70" s="2" t="n">
        <x:v>2025</x:v>
      </x:c>
      <x:c r="C70" s="2" t="str">
        <x:v>income_tax</x:v>
      </x:c>
      <x:c r="D70" s="7" t="d">
        <x:v>2024-10-01T00:00:00.000Z</x:v>
      </x:c>
      <x:c r="E70" s="7" t="d">
        <x:v>2025-09-30T00:00:00.000Z</x:v>
      </x:c>
      <x:c r="F70" s="10" t="n">
        <x:v>4136000000</x:v>
      </x:c>
      <x:c r="G70" s="2" t="str">
        <x:v>USD</x:v>
      </x:c>
      <x:c r="H70" s="2" t="n">
        <x:v>75</x:v>
      </x:c>
      <x:c r="I70" s="2" t="str">
        <x:v>0001403161-25-000089</x:v>
      </x:c>
      <x:c r="J70" s="2" t="str">
        <x:v>Visa FY2025 annual report, PDF p75</x:v>
      </x:c>
      <x:c r="K70" s="2" t="str">
        <x:f>A70&amp;"|"&amp;B70&amp;"|"&amp;C70</x:f>
        <x:v>visa|2025|income_tax</x:v>
      </x:c>
      <x:c r="L70" s="2"/>
      <x:c r="M70" s="2" t="str">
        <x:f>_xlfn.XLOOKUP(I70,$I$169:$I$174,$M$169:$M$174,"n.a.",0)</x:f>
        <x:v>https://s29.q4cdn.com/385744025/files/doc_downloads/2025/Visa-Fiscal-2025-Annual-Report.pdf</x:v>
      </x:c>
      <x:c r="N70" s="2"/>
    </x:row>
    <x:row r="71" ht="23" customHeight="1">
      <x:c r="A71" s="2" t="str">
        <x:v>visa</x:v>
      </x:c>
      <x:c r="B71" s="2" t="n">
        <x:v>2025</x:v>
      </x:c>
      <x:c r="C71" s="2" t="str">
        <x:v>net_income</x:v>
      </x:c>
      <x:c r="D71" s="7" t="d">
        <x:v>2024-10-01T00:00:00.000Z</x:v>
      </x:c>
      <x:c r="E71" s="7" t="d">
        <x:v>2025-09-30T00:00:00.000Z</x:v>
      </x:c>
      <x:c r="F71" s="10" t="n">
        <x:v>20058000000</x:v>
      </x:c>
      <x:c r="G71" s="2" t="str">
        <x:v>USD</x:v>
      </x:c>
      <x:c r="H71" s="2" t="n">
        <x:v>75</x:v>
      </x:c>
      <x:c r="I71" s="2" t="str">
        <x:v>0001403161-25-000089</x:v>
      </x:c>
      <x:c r="J71" s="2" t="str">
        <x:v>Visa FY2025 annual report, PDF p75</x:v>
      </x:c>
      <x:c r="K71" s="2" t="str">
        <x:f>A71&amp;"|"&amp;B71&amp;"|"&amp;C71</x:f>
        <x:v>visa|2025|net_income</x:v>
      </x:c>
      <x:c r="L71" s="2"/>
      <x:c r="M71" s="2" t="str">
        <x:f>_xlfn.XLOOKUP(I71,$I$169:$I$174,$M$169:$M$174,"n.a.",0)</x:f>
        <x:v>https://s29.q4cdn.com/385744025/files/doc_downloads/2025/Visa-Fiscal-2025-Annual-Report.pdf</x:v>
      </x:c>
      <x:c r="N71" s="2"/>
    </x:row>
    <x:row r="72" ht="23" customHeight="1">
      <x:c r="A72" s="2" t="str">
        <x:v>visa</x:v>
      </x:c>
      <x:c r="B72" s="2" t="n">
        <x:v>2025</x:v>
      </x:c>
      <x:c r="C72" s="2" t="str">
        <x:v>operating_cash_flow</x:v>
      </x:c>
      <x:c r="D72" s="7" t="d">
        <x:v>2024-10-01T00:00:00.000Z</x:v>
      </x:c>
      <x:c r="E72" s="7" t="d">
        <x:v>2025-09-30T00:00:00.000Z</x:v>
      </x:c>
      <x:c r="F72" s="10" t="n">
        <x:v>23059000000</x:v>
      </x:c>
      <x:c r="G72" s="2" t="str">
        <x:v>USD</x:v>
      </x:c>
      <x:c r="H72" s="2" t="n">
        <x:v>80</x:v>
      </x:c>
      <x:c r="I72" s="2" t="str">
        <x:v>0001403161-25-000089</x:v>
      </x:c>
      <x:c r="J72" s="2" t="str">
        <x:v>Visa FY2025 annual report, PDF p80</x:v>
      </x:c>
      <x:c r="K72" s="2" t="str">
        <x:f>A72&amp;"|"&amp;B72&amp;"|"&amp;C72</x:f>
        <x:v>visa|2025|operating_cash_flow</x:v>
      </x:c>
      <x:c r="L72" s="2"/>
      <x:c r="M72" s="2" t="str">
        <x:f>_xlfn.XLOOKUP(I72,$I$169:$I$174,$M$169:$M$174,"n.a.",0)</x:f>
        <x:v>https://s29.q4cdn.com/385744025/files/doc_downloads/2025/Visa-Fiscal-2025-Annual-Report.pdf</x:v>
      </x:c>
      <x:c r="N72" s="2"/>
    </x:row>
    <x:row r="73" ht="23" customHeight="1">
      <x:c r="A73" s="2" t="str">
        <x:v>visa</x:v>
      </x:c>
      <x:c r="B73" s="2" t="n">
        <x:v>2025</x:v>
      </x:c>
      <x:c r="C73" s="2" t="str">
        <x:v>capital_payments_primary</x:v>
      </x:c>
      <x:c r="D73" s="7" t="d">
        <x:v>2024-10-01T00:00:00.000Z</x:v>
      </x:c>
      <x:c r="E73" s="7" t="d">
        <x:v>2025-09-30T00:00:00.000Z</x:v>
      </x:c>
      <x:c r="F73" s="10" t="n">
        <x:v>1482000000</x:v>
      </x:c>
      <x:c r="G73" s="2" t="str">
        <x:v>USD</x:v>
      </x:c>
      <x:c r="H73" s="2" t="n">
        <x:v>80</x:v>
      </x:c>
      <x:c r="I73" s="2" t="str">
        <x:v>0001403161-25-000089</x:v>
      </x:c>
      <x:c r="J73" s="2" t="str">
        <x:v>Visa FY2025 annual report, PDF p80</x:v>
      </x:c>
      <x:c r="K73" s="2" t="str">
        <x:f>A73&amp;"|"&amp;B73&amp;"|"&amp;C73</x:f>
        <x:v>visa|2025|capital_payments_primary</x:v>
      </x:c>
      <x:c r="L73" s="2"/>
      <x:c r="M73" s="2" t="str">
        <x:f>_xlfn.XLOOKUP(I73,$I$169:$I$174,$M$169:$M$174,"n.a.",0)</x:f>
        <x:v>https://s29.q4cdn.com/385744025/files/doc_downloads/2025/Visa-Fiscal-2025-Annual-Report.pdf</x:v>
      </x:c>
      <x:c r="N73" s="2"/>
    </x:row>
    <x:row r="74" ht="23" customHeight="1">
      <x:c r="A74" s="2" t="str">
        <x:v>visa</x:v>
      </x:c>
      <x:c r="B74" s="2" t="n">
        <x:v>2025</x:v>
      </x:c>
      <x:c r="C74" s="2" t="str">
        <x:v>cash_and_cash_equivalents</x:v>
      </x:c>
      <x:c r="D74" s="7"/>
      <x:c r="E74" s="7" t="d">
        <x:v>2025-09-30T00:00:00.000Z</x:v>
      </x:c>
      <x:c r="F74" s="10" t="n">
        <x:v>17164000000</x:v>
      </x:c>
      <x:c r="G74" s="2" t="str">
        <x:v>USD</x:v>
      </x:c>
      <x:c r="H74" s="2" t="n">
        <x:v>74</x:v>
      </x:c>
      <x:c r="I74" s="2" t="str">
        <x:v>0001403161-25-000089</x:v>
      </x:c>
      <x:c r="J74" s="2" t="str">
        <x:v>Visa FY2025 annual report, PDF p74</x:v>
      </x:c>
      <x:c r="K74" s="2" t="str">
        <x:f>A74&amp;"|"&amp;B74&amp;"|"&amp;C74</x:f>
        <x:v>visa|2025|cash_and_cash_equivalents</x:v>
      </x:c>
      <x:c r="L74" s="2"/>
      <x:c r="M74" s="2" t="str">
        <x:f>_xlfn.XLOOKUP(I74,$I$169:$I$174,$M$169:$M$174,"n.a.",0)</x:f>
        <x:v>https://s29.q4cdn.com/385744025/files/doc_downloads/2025/Visa-Fiscal-2025-Annual-Report.pdf</x:v>
      </x:c>
      <x:c r="N74" s="2"/>
    </x:row>
    <x:row r="75" ht="23" customHeight="1">
      <x:c r="A75" s="2" t="str">
        <x:v>visa</x:v>
      </x:c>
      <x:c r="B75" s="2" t="n">
        <x:v>2025</x:v>
      </x:c>
      <x:c r="C75" s="2" t="str">
        <x:v>current_debt</x:v>
      </x:c>
      <x:c r="D75" s="7"/>
      <x:c r="E75" s="7" t="d">
        <x:v>2025-09-30T00:00:00.000Z</x:v>
      </x:c>
      <x:c r="F75" s="10" t="n">
        <x:v>5569000000</x:v>
      </x:c>
      <x:c r="G75" s="2" t="str">
        <x:v>USD</x:v>
      </x:c>
      <x:c r="H75" s="2" t="n">
        <x:v>74</x:v>
      </x:c>
      <x:c r="I75" s="2" t="str">
        <x:v>0001403161-25-000089</x:v>
      </x:c>
      <x:c r="J75" s="2" t="str">
        <x:v>Visa FY2025 annual report, PDF p74</x:v>
      </x:c>
      <x:c r="K75" s="2" t="str">
        <x:f>A75&amp;"|"&amp;B75&amp;"|"&amp;C75</x:f>
        <x:v>visa|2025|current_debt</x:v>
      </x:c>
      <x:c r="L75" s="2"/>
      <x:c r="M75" s="2" t="str">
        <x:f>_xlfn.XLOOKUP(I75,$I$169:$I$174,$M$169:$M$174,"n.a.",0)</x:f>
        <x:v>https://s29.q4cdn.com/385744025/files/doc_downloads/2025/Visa-Fiscal-2025-Annual-Report.pdf</x:v>
      </x:c>
      <x:c r="N75" s="2"/>
    </x:row>
    <x:row r="76" ht="23" customHeight="1">
      <x:c r="A76" s="2" t="str">
        <x:v>visa</x:v>
      </x:c>
      <x:c r="B76" s="2" t="n">
        <x:v>2025</x:v>
      </x:c>
      <x:c r="C76" s="2" t="str">
        <x:v>noncurrent_debt</x:v>
      </x:c>
      <x:c r="D76" s="7"/>
      <x:c r="E76" s="7" t="d">
        <x:v>2025-09-30T00:00:00.000Z</x:v>
      </x:c>
      <x:c r="F76" s="10" t="n">
        <x:v>19602000000</x:v>
      </x:c>
      <x:c r="G76" s="2" t="str">
        <x:v>USD</x:v>
      </x:c>
      <x:c r="H76" s="2" t="n">
        <x:v>74</x:v>
      </x:c>
      <x:c r="I76" s="2" t="str">
        <x:v>0001403161-25-000089</x:v>
      </x:c>
      <x:c r="J76" s="2" t="str">
        <x:v>Visa FY2025 annual report, PDF p74</x:v>
      </x:c>
      <x:c r="K76" s="2" t="str">
        <x:f>A76&amp;"|"&amp;B76&amp;"|"&amp;C76</x:f>
        <x:v>visa|2025|noncurrent_debt</x:v>
      </x:c>
      <x:c r="L76" s="2"/>
      <x:c r="M76" s="2" t="str">
        <x:f>_xlfn.XLOOKUP(I76,$I$169:$I$174,$M$169:$M$174,"n.a.",0)</x:f>
        <x:v>https://s29.q4cdn.com/385744025/files/doc_downloads/2025/Visa-Fiscal-2025-Annual-Report.pdf</x:v>
      </x:c>
      <x:c r="N76" s="2"/>
    </x:row>
    <x:row r="77" ht="23" customHeight="1">
      <x:c r="A77" s="2" t="str">
        <x:v>visa</x:v>
      </x:c>
      <x:c r="B77" s="2" t="n">
        <x:v>2025</x:v>
      </x:c>
      <x:c r="C77" s="2" t="str">
        <x:v>total_assets</x:v>
      </x:c>
      <x:c r="D77" s="7"/>
      <x:c r="E77" s="7" t="d">
        <x:v>2025-09-30T00:00:00.000Z</x:v>
      </x:c>
      <x:c r="F77" s="10" t="n">
        <x:v>99627000000</x:v>
      </x:c>
      <x:c r="G77" s="2" t="str">
        <x:v>USD</x:v>
      </x:c>
      <x:c r="H77" s="2" t="n">
        <x:v>74</x:v>
      </x:c>
      <x:c r="I77" s="2" t="str">
        <x:v>0001403161-25-000089</x:v>
      </x:c>
      <x:c r="J77" s="2" t="str">
        <x:v>Visa FY2025 annual report, PDF p74</x:v>
      </x:c>
      <x:c r="K77" s="2" t="str">
        <x:f>A77&amp;"|"&amp;B77&amp;"|"&amp;C77</x:f>
        <x:v>visa|2025|total_assets</x:v>
      </x:c>
      <x:c r="L77" s="2"/>
      <x:c r="M77" s="2" t="str">
        <x:f>_xlfn.XLOOKUP(I77,$I$169:$I$174,$M$169:$M$174,"n.a.",0)</x:f>
        <x:v>https://s29.q4cdn.com/385744025/files/doc_downloads/2025/Visa-Fiscal-2025-Annual-Report.pdf</x:v>
      </x:c>
      <x:c r="N77" s="2"/>
    </x:row>
    <x:row r="78" ht="23" customHeight="1">
      <x:c r="A78" s="2" t="str">
        <x:v>visa</x:v>
      </x:c>
      <x:c r="B78" s="2" t="n">
        <x:v>2025</x:v>
      </x:c>
      <x:c r="C78" s="2" t="str">
        <x:v>total_liabilities</x:v>
      </x:c>
      <x:c r="D78" s="7"/>
      <x:c r="E78" s="7" t="d">
        <x:v>2025-09-30T00:00:00.000Z</x:v>
      </x:c>
      <x:c r="F78" s="10" t="n">
        <x:v>61718000000</x:v>
      </x:c>
      <x:c r="G78" s="2" t="str">
        <x:v>USD</x:v>
      </x:c>
      <x:c r="H78" s="2" t="n">
        <x:v>74</x:v>
      </x:c>
      <x:c r="I78" s="2" t="str">
        <x:v>0001403161-25-000089</x:v>
      </x:c>
      <x:c r="J78" s="2" t="str">
        <x:v>Visa FY2025 annual report, PDF p74</x:v>
      </x:c>
      <x:c r="K78" s="2" t="str">
        <x:f>A78&amp;"|"&amp;B78&amp;"|"&amp;C78</x:f>
        <x:v>visa|2025|total_liabilities</x:v>
      </x:c>
      <x:c r="L78" s="2"/>
      <x:c r="M78" s="2" t="str">
        <x:f>_xlfn.XLOOKUP(I78,$I$169:$I$174,$M$169:$M$174,"n.a.",0)</x:f>
        <x:v>https://s29.q4cdn.com/385744025/files/doc_downloads/2025/Visa-Fiscal-2025-Annual-Report.pdf</x:v>
      </x:c>
      <x:c r="N78" s="2"/>
    </x:row>
    <x:row r="79" ht="23" customHeight="1">
      <x:c r="A79" s="2" t="str">
        <x:v>visa</x:v>
      </x:c>
      <x:c r="B79" s="2" t="n">
        <x:v>2025</x:v>
      </x:c>
      <x:c r="C79" s="2" t="str">
        <x:v>total_equity</x:v>
      </x:c>
      <x:c r="D79" s="7"/>
      <x:c r="E79" s="7" t="d">
        <x:v>2025-09-30T00:00:00.000Z</x:v>
      </x:c>
      <x:c r="F79" s="10" t="n">
        <x:v>37909000000</x:v>
      </x:c>
      <x:c r="G79" s="2" t="str">
        <x:v>USD</x:v>
      </x:c>
      <x:c r="H79" s="2" t="n">
        <x:v>74</x:v>
      </x:c>
      <x:c r="I79" s="2" t="str">
        <x:v>0001403161-25-000089</x:v>
      </x:c>
      <x:c r="J79" s="2" t="str">
        <x:v>Visa FY2025 annual report, PDF p74</x:v>
      </x:c>
      <x:c r="K79" s="2" t="str">
        <x:f>A79&amp;"|"&amp;B79&amp;"|"&amp;C79</x:f>
        <x:v>visa|2025|total_equity</x:v>
      </x:c>
      <x:c r="L79" s="2"/>
      <x:c r="M79" s="2" t="str">
        <x:f>_xlfn.XLOOKUP(I79,$I$169:$I$174,$M$169:$M$174,"n.a.",0)</x:f>
        <x:v>https://s29.q4cdn.com/385744025/files/doc_downloads/2025/Visa-Fiscal-2025-Annual-Report.pdf</x:v>
      </x:c>
      <x:c r="N79" s="2"/>
    </x:row>
    <x:row r="80" ht="23" customHeight="1">
      <x:c r="A80" s="2" t="str">
        <x:v>visa</x:v>
      </x:c>
      <x:c r="B80" s="2" t="n">
        <x:v>2025</x:v>
      </x:c>
      <x:c r="C80" s="2" t="str">
        <x:v>cash_flow_total_end</x:v>
      </x:c>
      <x:c r="D80" s="7"/>
      <x:c r="E80" s="7" t="d">
        <x:v>2025-09-30T00:00:00.000Z</x:v>
      </x:c>
      <x:c r="F80" s="10" t="n">
        <x:v>24987000000</x:v>
      </x:c>
      <x:c r="G80" s="2" t="str">
        <x:v>USD</x:v>
      </x:c>
      <x:c r="H80" s="2" t="n">
        <x:v>80</x:v>
      </x:c>
      <x:c r="I80" s="2" t="str">
        <x:v>0001403161-25-000089</x:v>
      </x:c>
      <x:c r="J80" s="2" t="str">
        <x:v>Visa FY2025 annual report, PDF p80</x:v>
      </x:c>
      <x:c r="K80" s="2" t="str">
        <x:f>A80&amp;"|"&amp;B80&amp;"|"&amp;C80</x:f>
        <x:v>visa|2025|cash_flow_total_end</x:v>
      </x:c>
      <x:c r="L80" s="2"/>
      <x:c r="M80" s="2" t="str">
        <x:f>_xlfn.XLOOKUP(I80,$I$169:$I$174,$M$169:$M$174,"n.a.",0)</x:f>
        <x:v>https://s29.q4cdn.com/385744025/files/doc_downloads/2025/Visa-Fiscal-2025-Annual-Report.pdf</x:v>
      </x:c>
      <x:c r="N80" s="2"/>
    </x:row>
    <x:row r="81" ht="23" customHeight="1">
      <x:c r="A81" s="2" t="str">
        <x:v>mastercard</x:v>
      </x:c>
      <x:c r="B81" s="2" t="n">
        <x:v>2021</x:v>
      </x:c>
      <x:c r="C81" s="2" t="str">
        <x:v>net_revenue</x:v>
      </x:c>
      <x:c r="D81" s="7" t="d">
        <x:v>2021-01-01T00:00:00.000Z</x:v>
      </x:c>
      <x:c r="E81" s="7" t="d">
        <x:v>2021-12-31T00:00:00.000Z</x:v>
      </x:c>
      <x:c r="F81" s="10" t="n">
        <x:v>18884000000</x:v>
      </x:c>
      <x:c r="G81" s="2" t="str">
        <x:v>USD</x:v>
      </x:c>
      <x:c r="H81" s="2" t="n">
        <x:v>69</x:v>
      </x:c>
      <x:c r="I81" s="2" t="str">
        <x:v>0001141391-24-000022</x:v>
      </x:c>
      <x:c r="J81" s="2" t="str">
        <x:v>Mastercard FY2023 annual report, PDF p69</x:v>
      </x:c>
      <x:c r="K81" s="2" t="str">
        <x:f>A81&amp;"|"&amp;B81&amp;"|"&amp;C81</x:f>
        <x:v>mastercard|2021|net_revenue</x:v>
      </x:c>
      <x:c r="L81" s="2"/>
      <x:c r="M81" s="2" t="str">
        <x:f>_xlfn.XLOOKUP(I81,$I$169:$I$174,$M$169:$M$174,"n.a.",0)</x:f>
        <x:v>https://s25.q4cdn.com/479285134/files/doc_financials/2023/AR/2023-annual-report.pdf</x:v>
      </x:c>
      <x:c r="N81" s="2"/>
    </x:row>
    <x:row r="82" ht="23" customHeight="1">
      <x:c r="A82" s="2" t="str">
        <x:v>mastercard</x:v>
      </x:c>
      <x:c r="B82" s="2" t="n">
        <x:v>2021</x:v>
      </x:c>
      <x:c r="C82" s="2" t="str">
        <x:v>operating_expenses</x:v>
      </x:c>
      <x:c r="D82" s="7" t="d">
        <x:v>2021-01-01T00:00:00.000Z</x:v>
      </x:c>
      <x:c r="E82" s="7" t="d">
        <x:v>2021-12-31T00:00:00.000Z</x:v>
      </x:c>
      <x:c r="F82" s="10" t="n">
        <x:v>8802000000</x:v>
      </x:c>
      <x:c r="G82" s="2" t="str">
        <x:v>USD</x:v>
      </x:c>
      <x:c r="H82" s="2" t="n">
        <x:v>69</x:v>
      </x:c>
      <x:c r="I82" s="2" t="str">
        <x:v>0001141391-24-000022</x:v>
      </x:c>
      <x:c r="J82" s="2" t="str">
        <x:v>Mastercard FY2023 annual report, PDF p69</x:v>
      </x:c>
      <x:c r="K82" s="2" t="str">
        <x:f>A82&amp;"|"&amp;B82&amp;"|"&amp;C82</x:f>
        <x:v>mastercard|2021|operating_expenses</x:v>
      </x:c>
      <x:c r="L82" s="2"/>
      <x:c r="M82" s="2" t="str">
        <x:f>_xlfn.XLOOKUP(I82,$I$169:$I$174,$M$169:$M$174,"n.a.",0)</x:f>
        <x:v>https://s25.q4cdn.com/479285134/files/doc_financials/2023/AR/2023-annual-report.pdf</x:v>
      </x:c>
      <x:c r="N82" s="2"/>
    </x:row>
    <x:row r="83" ht="23" customHeight="1">
      <x:c r="A83" s="2" t="str">
        <x:v>mastercard</x:v>
      </x:c>
      <x:c r="B83" s="2" t="n">
        <x:v>2021</x:v>
      </x:c>
      <x:c r="C83" s="2" t="str">
        <x:v>operating_income</x:v>
      </x:c>
      <x:c r="D83" s="7" t="d">
        <x:v>2021-01-01T00:00:00.000Z</x:v>
      </x:c>
      <x:c r="E83" s="7" t="d">
        <x:v>2021-12-31T00:00:00.000Z</x:v>
      </x:c>
      <x:c r="F83" s="10" t="n">
        <x:v>10082000000</x:v>
      </x:c>
      <x:c r="G83" s="2" t="str">
        <x:v>USD</x:v>
      </x:c>
      <x:c r="H83" s="2" t="n">
        <x:v>69</x:v>
      </x:c>
      <x:c r="I83" s="2" t="str">
        <x:v>0001141391-24-000022</x:v>
      </x:c>
      <x:c r="J83" s="2" t="str">
        <x:v>Mastercard FY2023 annual report, PDF p69</x:v>
      </x:c>
      <x:c r="K83" s="2" t="str">
        <x:f>A83&amp;"|"&amp;B83&amp;"|"&amp;C83</x:f>
        <x:v>mastercard|2021|operating_income</x:v>
      </x:c>
      <x:c r="L83" s="2"/>
      <x:c r="M83" s="2" t="str">
        <x:f>_xlfn.XLOOKUP(I83,$I$169:$I$174,$M$169:$M$174,"n.a.",0)</x:f>
        <x:v>https://s25.q4cdn.com/479285134/files/doc_financials/2023/AR/2023-annual-report.pdf</x:v>
      </x:c>
      <x:c r="N83" s="2"/>
    </x:row>
    <x:row r="84" ht="23" customHeight="1">
      <x:c r="A84" s="2" t="str">
        <x:v>mastercard</x:v>
      </x:c>
      <x:c r="B84" s="2" t="n">
        <x:v>2021</x:v>
      </x:c>
      <x:c r="C84" s="2" t="str">
        <x:v>pretax_income</x:v>
      </x:c>
      <x:c r="D84" s="7" t="d">
        <x:v>2021-01-01T00:00:00.000Z</x:v>
      </x:c>
      <x:c r="E84" s="7" t="d">
        <x:v>2021-12-31T00:00:00.000Z</x:v>
      </x:c>
      <x:c r="F84" s="10" t="n">
        <x:v>10307000000</x:v>
      </x:c>
      <x:c r="G84" s="2" t="str">
        <x:v>USD</x:v>
      </x:c>
      <x:c r="H84" s="2" t="n">
        <x:v>69</x:v>
      </x:c>
      <x:c r="I84" s="2" t="str">
        <x:v>0001141391-24-000022</x:v>
      </x:c>
      <x:c r="J84" s="2" t="str">
        <x:v>Mastercard FY2023 annual report, PDF p69</x:v>
      </x:c>
      <x:c r="K84" s="2" t="str">
        <x:f>A84&amp;"|"&amp;B84&amp;"|"&amp;C84</x:f>
        <x:v>mastercard|2021|pretax_income</x:v>
      </x:c>
      <x:c r="L84" s="2"/>
      <x:c r="M84" s="2" t="str">
        <x:f>_xlfn.XLOOKUP(I84,$I$169:$I$174,$M$169:$M$174,"n.a.",0)</x:f>
        <x:v>https://s25.q4cdn.com/479285134/files/doc_financials/2023/AR/2023-annual-report.pdf</x:v>
      </x:c>
      <x:c r="N84" s="2"/>
    </x:row>
    <x:row r="85" ht="23" customHeight="1">
      <x:c r="A85" s="2" t="str">
        <x:v>mastercard</x:v>
      </x:c>
      <x:c r="B85" s="2" t="n">
        <x:v>2021</x:v>
      </x:c>
      <x:c r="C85" s="2" t="str">
        <x:v>income_tax</x:v>
      </x:c>
      <x:c r="D85" s="7" t="d">
        <x:v>2021-01-01T00:00:00.000Z</x:v>
      </x:c>
      <x:c r="E85" s="7" t="d">
        <x:v>2021-12-31T00:00:00.000Z</x:v>
      </x:c>
      <x:c r="F85" s="10" t="n">
        <x:v>1620000000</x:v>
      </x:c>
      <x:c r="G85" s="2" t="str">
        <x:v>USD</x:v>
      </x:c>
      <x:c r="H85" s="2" t="n">
        <x:v>69</x:v>
      </x:c>
      <x:c r="I85" s="2" t="str">
        <x:v>0001141391-24-000022</x:v>
      </x:c>
      <x:c r="J85" s="2" t="str">
        <x:v>Mastercard FY2023 annual report, PDF p69</x:v>
      </x:c>
      <x:c r="K85" s="2" t="str">
        <x:f>A85&amp;"|"&amp;B85&amp;"|"&amp;C85</x:f>
        <x:v>mastercard|2021|income_tax</x:v>
      </x:c>
      <x:c r="L85" s="2"/>
      <x:c r="M85" s="2" t="str">
        <x:f>_xlfn.XLOOKUP(I85,$I$169:$I$174,$M$169:$M$174,"n.a.",0)</x:f>
        <x:v>https://s25.q4cdn.com/479285134/files/doc_financials/2023/AR/2023-annual-report.pdf</x:v>
      </x:c>
      <x:c r="N85" s="2"/>
    </x:row>
    <x:row r="86" ht="23" customHeight="1">
      <x:c r="A86" s="2" t="str">
        <x:v>mastercard</x:v>
      </x:c>
      <x:c r="B86" s="2" t="n">
        <x:v>2021</x:v>
      </x:c>
      <x:c r="C86" s="2" t="str">
        <x:v>net_income</x:v>
      </x:c>
      <x:c r="D86" s="7" t="d">
        <x:v>2021-01-01T00:00:00.000Z</x:v>
      </x:c>
      <x:c r="E86" s="7" t="d">
        <x:v>2021-12-31T00:00:00.000Z</x:v>
      </x:c>
      <x:c r="F86" s="10" t="n">
        <x:v>8687000000</x:v>
      </x:c>
      <x:c r="G86" s="2" t="str">
        <x:v>USD</x:v>
      </x:c>
      <x:c r="H86" s="2" t="n">
        <x:v>69</x:v>
      </x:c>
      <x:c r="I86" s="2" t="str">
        <x:v>0001141391-24-000022</x:v>
      </x:c>
      <x:c r="J86" s="2" t="str">
        <x:v>Mastercard FY2023 annual report, PDF p69</x:v>
      </x:c>
      <x:c r="K86" s="2" t="str">
        <x:f>A86&amp;"|"&amp;B86&amp;"|"&amp;C86</x:f>
        <x:v>mastercard|2021|net_income</x:v>
      </x:c>
      <x:c r="L86" s="2"/>
      <x:c r="M86" s="2" t="str">
        <x:f>_xlfn.XLOOKUP(I86,$I$169:$I$174,$M$169:$M$174,"n.a.",0)</x:f>
        <x:v>https://s25.q4cdn.com/479285134/files/doc_financials/2023/AR/2023-annual-report.pdf</x:v>
      </x:c>
      <x:c r="N86" s="2"/>
    </x:row>
    <x:row r="87" ht="23" customHeight="1">
      <x:c r="A87" s="2" t="str">
        <x:v>mastercard</x:v>
      </x:c>
      <x:c r="B87" s="2" t="n">
        <x:v>2021</x:v>
      </x:c>
      <x:c r="C87" s="2" t="str">
        <x:v>operating_cash_flow</x:v>
      </x:c>
      <x:c r="D87" s="7" t="d">
        <x:v>2021-01-01T00:00:00.000Z</x:v>
      </x:c>
      <x:c r="E87" s="7" t="d">
        <x:v>2021-12-31T00:00:00.000Z</x:v>
      </x:c>
      <x:c r="F87" s="10" t="n">
        <x:v>9463000000</x:v>
      </x:c>
      <x:c r="G87" s="2" t="str">
        <x:v>USD</x:v>
      </x:c>
      <x:c r="H87" s="2" t="n">
        <x:v>74</x:v>
      </x:c>
      <x:c r="I87" s="2" t="str">
        <x:v>0001141391-24-000022</x:v>
      </x:c>
      <x:c r="J87" s="2" t="str">
        <x:v>Mastercard FY2023 annual report, PDF p74</x:v>
      </x:c>
      <x:c r="K87" s="2" t="str">
        <x:f>A87&amp;"|"&amp;B87&amp;"|"&amp;C87</x:f>
        <x:v>mastercard|2021|operating_cash_flow</x:v>
      </x:c>
      <x:c r="L87" s="2"/>
      <x:c r="M87" s="2" t="str">
        <x:f>_xlfn.XLOOKUP(I87,$I$169:$I$174,$M$169:$M$174,"n.a.",0)</x:f>
        <x:v>https://s25.q4cdn.com/479285134/files/doc_financials/2023/AR/2023-annual-report.pdf</x:v>
      </x:c>
      <x:c r="N87" s="2"/>
    </x:row>
    <x:row r="88" ht="23" customHeight="1">
      <x:c r="A88" s="2" t="str">
        <x:v>mastercard</x:v>
      </x:c>
      <x:c r="B88" s="2" t="n">
        <x:v>2021</x:v>
      </x:c>
      <x:c r="C88" s="2" t="str">
        <x:v>capital_payments_primary</x:v>
      </x:c>
      <x:c r="D88" s="7" t="d">
        <x:v>2021-01-01T00:00:00.000Z</x:v>
      </x:c>
      <x:c r="E88" s="7" t="d">
        <x:v>2021-12-31T00:00:00.000Z</x:v>
      </x:c>
      <x:c r="F88" s="10" t="n">
        <x:v>407000000</x:v>
      </x:c>
      <x:c r="G88" s="2" t="str">
        <x:v>USD</x:v>
      </x:c>
      <x:c r="H88" s="2" t="n">
        <x:v>74</x:v>
      </x:c>
      <x:c r="I88" s="2" t="str">
        <x:v>0001141391-24-000022</x:v>
      </x:c>
      <x:c r="J88" s="2" t="str">
        <x:v>Mastercard FY2023 annual report, PDF p74</x:v>
      </x:c>
      <x:c r="K88" s="2" t="str">
        <x:f>A88&amp;"|"&amp;B88&amp;"|"&amp;C88</x:f>
        <x:v>mastercard|2021|capital_payments_primary</x:v>
      </x:c>
      <x:c r="L88" s="2"/>
      <x:c r="M88" s="2" t="str">
        <x:f>_xlfn.XLOOKUP(I88,$I$169:$I$174,$M$169:$M$174,"n.a.",0)</x:f>
        <x:v>https://s25.q4cdn.com/479285134/files/doc_financials/2023/AR/2023-annual-report.pdf</x:v>
      </x:c>
      <x:c r="N88" s="2"/>
    </x:row>
    <x:row r="89" ht="23" customHeight="1">
      <x:c r="A89" s="2" t="str">
        <x:v>mastercard</x:v>
      </x:c>
      <x:c r="B89" s="2" t="n">
        <x:v>2021</x:v>
      </x:c>
      <x:c r="C89" s="2" t="str">
        <x:v>cash_and_cash_equivalents</x:v>
      </x:c>
      <x:c r="D89" s="7"/>
      <x:c r="E89" s="7" t="d">
        <x:v>2021-12-31T00:00:00.000Z</x:v>
      </x:c>
      <x:c r="F89" s="10" t="n">
        <x:v>7421000000</x:v>
      </x:c>
      <x:c r="G89" s="2" t="str">
        <x:v>USD</x:v>
      </x:c>
      <x:c r="H89" s="2" t="n">
        <x:v>65</x:v>
      </x:c>
      <x:c r="I89" s="2" t="str">
        <x:v>0001141391-22-000023</x:v>
      </x:c>
      <x:c r="J89" s="2" t="str">
        <x:v>Mastercard FY2021 annual report, PDF p65</x:v>
      </x:c>
      <x:c r="K89" s="2" t="str">
        <x:f>A89&amp;"|"&amp;B89&amp;"|"&amp;C89</x:f>
        <x:v>mastercard|2021|cash_and_cash_equivalents</x:v>
      </x:c>
      <x:c r="L89" s="2"/>
      <x:c r="M89" s="2" t="str">
        <x:f>_xlfn.XLOOKUP(I89,$I$169:$I$174,$M$169:$M$174,"n.a.",0)</x:f>
        <x:v>https://s25.q4cdn.com/479285134/files/doc_financials/2021/q4/MA.12.31.2021-10-K-as-filed-Exhibits.pdf</x:v>
      </x:c>
      <x:c r="N89" s="2"/>
    </x:row>
    <x:row r="90" ht="23" customHeight="1">
      <x:c r="A90" s="2" t="str">
        <x:v>mastercard</x:v>
      </x:c>
      <x:c r="B90" s="2" t="n">
        <x:v>2021</x:v>
      </x:c>
      <x:c r="C90" s="2" t="str">
        <x:v>current_debt</x:v>
      </x:c>
      <x:c r="D90" s="7"/>
      <x:c r="E90" s="7" t="d">
        <x:v>2021-12-31T00:00:00.000Z</x:v>
      </x:c>
      <x:c r="F90" s="10" t="n">
        <x:v>792000000</x:v>
      </x:c>
      <x:c r="G90" s="2" t="str">
        <x:v>USD</x:v>
      </x:c>
      <x:c r="H90" s="2" t="n">
        <x:v>65</x:v>
      </x:c>
      <x:c r="I90" s="2" t="str">
        <x:v>0001141391-22-000023</x:v>
      </x:c>
      <x:c r="J90" s="2" t="str">
        <x:v>Mastercard FY2021 annual report, PDF p65</x:v>
      </x:c>
      <x:c r="K90" s="2" t="str">
        <x:f>A90&amp;"|"&amp;B90&amp;"|"&amp;C90</x:f>
        <x:v>mastercard|2021|current_debt</x:v>
      </x:c>
      <x:c r="L90" s="2"/>
      <x:c r="M90" s="2" t="str">
        <x:f>_xlfn.XLOOKUP(I90,$I$169:$I$174,$M$169:$M$174,"n.a.",0)</x:f>
        <x:v>https://s25.q4cdn.com/479285134/files/doc_financials/2021/q4/MA.12.31.2021-10-K-as-filed-Exhibits.pdf</x:v>
      </x:c>
      <x:c r="N90" s="2"/>
    </x:row>
    <x:row r="91" ht="23" customHeight="1">
      <x:c r="A91" s="2" t="str">
        <x:v>mastercard</x:v>
      </x:c>
      <x:c r="B91" s="2" t="n">
        <x:v>2021</x:v>
      </x:c>
      <x:c r="C91" s="2" t="str">
        <x:v>noncurrent_debt</x:v>
      </x:c>
      <x:c r="D91" s="7"/>
      <x:c r="E91" s="7" t="d">
        <x:v>2021-12-31T00:00:00.000Z</x:v>
      </x:c>
      <x:c r="F91" s="10" t="n">
        <x:v>13109000000</x:v>
      </x:c>
      <x:c r="G91" s="2" t="str">
        <x:v>USD</x:v>
      </x:c>
      <x:c r="H91" s="2" t="n">
        <x:v>65</x:v>
      </x:c>
      <x:c r="I91" s="2" t="str">
        <x:v>0001141391-22-000023</x:v>
      </x:c>
      <x:c r="J91" s="2" t="str">
        <x:v>Mastercard FY2021 annual report, PDF p65</x:v>
      </x:c>
      <x:c r="K91" s="2" t="str">
        <x:f>A91&amp;"|"&amp;B91&amp;"|"&amp;C91</x:f>
        <x:v>mastercard|2021|noncurrent_debt</x:v>
      </x:c>
      <x:c r="L91" s="2"/>
      <x:c r="M91" s="2" t="str">
        <x:f>_xlfn.XLOOKUP(I91,$I$169:$I$174,$M$169:$M$174,"n.a.",0)</x:f>
        <x:v>https://s25.q4cdn.com/479285134/files/doc_financials/2021/q4/MA.12.31.2021-10-K-as-filed-Exhibits.pdf</x:v>
      </x:c>
      <x:c r="N91" s="2"/>
    </x:row>
    <x:row r="92" ht="23" customHeight="1">
      <x:c r="A92" s="2" t="str">
        <x:v>mastercard</x:v>
      </x:c>
      <x:c r="B92" s="2" t="n">
        <x:v>2021</x:v>
      </x:c>
      <x:c r="C92" s="2" t="str">
        <x:v>total_assets</x:v>
      </x:c>
      <x:c r="D92" s="7"/>
      <x:c r="E92" s="7" t="d">
        <x:v>2021-12-31T00:00:00.000Z</x:v>
      </x:c>
      <x:c r="F92" s="10" t="n">
        <x:v>37669000000</x:v>
      </x:c>
      <x:c r="G92" s="2" t="str">
        <x:v>USD</x:v>
      </x:c>
      <x:c r="H92" s="2" t="n">
        <x:v>65</x:v>
      </x:c>
      <x:c r="I92" s="2" t="str">
        <x:v>0001141391-22-000023</x:v>
      </x:c>
      <x:c r="J92" s="2" t="str">
        <x:v>Mastercard FY2021 annual report, PDF p65</x:v>
      </x:c>
      <x:c r="K92" s="2" t="str">
        <x:f>A92&amp;"|"&amp;B92&amp;"|"&amp;C92</x:f>
        <x:v>mastercard|2021|total_assets</x:v>
      </x:c>
      <x:c r="L92" s="2"/>
      <x:c r="M92" s="2" t="str">
        <x:f>_xlfn.XLOOKUP(I92,$I$169:$I$174,$M$169:$M$174,"n.a.",0)</x:f>
        <x:v>https://s25.q4cdn.com/479285134/files/doc_financials/2021/q4/MA.12.31.2021-10-K-as-filed-Exhibits.pdf</x:v>
      </x:c>
      <x:c r="N92" s="2"/>
    </x:row>
    <x:row r="93" ht="23" customHeight="1">
      <x:c r="A93" s="2" t="str">
        <x:v>mastercard</x:v>
      </x:c>
      <x:c r="B93" s="2" t="n">
        <x:v>2021</x:v>
      </x:c>
      <x:c r="C93" s="2" t="str">
        <x:v>total_liabilities</x:v>
      </x:c>
      <x:c r="D93" s="7"/>
      <x:c r="E93" s="7" t="d">
        <x:v>2021-12-31T00:00:00.000Z</x:v>
      </x:c>
      <x:c r="F93" s="10" t="n">
        <x:v>30257000000</x:v>
      </x:c>
      <x:c r="G93" s="2" t="str">
        <x:v>USD</x:v>
      </x:c>
      <x:c r="H93" s="2" t="n">
        <x:v>65</x:v>
      </x:c>
      <x:c r="I93" s="2" t="str">
        <x:v>0001141391-22-000023</x:v>
      </x:c>
      <x:c r="J93" s="2" t="str">
        <x:v>Mastercard FY2021 annual report, PDF p65</x:v>
      </x:c>
      <x:c r="K93" s="2" t="str">
        <x:f>A93&amp;"|"&amp;B93&amp;"|"&amp;C93</x:f>
        <x:v>mastercard|2021|total_liabilities</x:v>
      </x:c>
      <x:c r="L93" s="2"/>
      <x:c r="M93" s="2" t="str">
        <x:f>_xlfn.XLOOKUP(I93,$I$169:$I$174,$M$169:$M$174,"n.a.",0)</x:f>
        <x:v>https://s25.q4cdn.com/479285134/files/doc_financials/2021/q4/MA.12.31.2021-10-K-as-filed-Exhibits.pdf</x:v>
      </x:c>
      <x:c r="N93" s="2"/>
    </x:row>
    <x:row r="94" ht="23" customHeight="1">
      <x:c r="A94" s="2" t="str">
        <x:v>mastercard</x:v>
      </x:c>
      <x:c r="B94" s="2" t="n">
        <x:v>2021</x:v>
      </x:c>
      <x:c r="C94" s="2" t="str">
        <x:v>total_equity</x:v>
      </x:c>
      <x:c r="D94" s="7"/>
      <x:c r="E94" s="7" t="d">
        <x:v>2021-12-31T00:00:00.000Z</x:v>
      </x:c>
      <x:c r="F94" s="10" t="n">
        <x:v>7383000000</x:v>
      </x:c>
      <x:c r="G94" s="2" t="str">
        <x:v>USD</x:v>
      </x:c>
      <x:c r="H94" s="2" t="n">
        <x:v>65</x:v>
      </x:c>
      <x:c r="I94" s="2" t="str">
        <x:v>0001141391-22-000023</x:v>
      </x:c>
      <x:c r="J94" s="2" t="str">
        <x:v>Mastercard FY2021 annual report, PDF p65</x:v>
      </x:c>
      <x:c r="K94" s="2" t="str">
        <x:f>A94&amp;"|"&amp;B94&amp;"|"&amp;C94</x:f>
        <x:v>mastercard|2021|total_equity</x:v>
      </x:c>
      <x:c r="L94" s="2"/>
      <x:c r="M94" s="2" t="str">
        <x:f>_xlfn.XLOOKUP(I94,$I$169:$I$174,$M$169:$M$174,"n.a.",0)</x:f>
        <x:v>https://s25.q4cdn.com/479285134/files/doc_financials/2021/q4/MA.12.31.2021-10-K-as-filed-Exhibits.pdf</x:v>
      </x:c>
      <x:c r="N94" s="2"/>
    </x:row>
    <x:row r="95" ht="23" customHeight="1">
      <x:c r="A95" s="2" t="str">
        <x:v>mastercard</x:v>
      </x:c>
      <x:c r="B95" s="2" t="n">
        <x:v>2021</x:v>
      </x:c>
      <x:c r="C95" s="2" t="str">
        <x:v>cash_flow_total_end</x:v>
      </x:c>
      <x:c r="D95" s="7"/>
      <x:c r="E95" s="7" t="d">
        <x:v>2021-12-31T00:00:00.000Z</x:v>
      </x:c>
      <x:c r="F95" s="10" t="n">
        <x:v>9902000000</x:v>
      </x:c>
      <x:c r="G95" s="2" t="str">
        <x:v>USD</x:v>
      </x:c>
      <x:c r="H95" s="2" t="n">
        <x:v>74</x:v>
      </x:c>
      <x:c r="I95" s="2" t="str">
        <x:v>0001141391-24-000022</x:v>
      </x:c>
      <x:c r="J95" s="2" t="str">
        <x:v>Mastercard FY2023 annual report, PDF p74</x:v>
      </x:c>
      <x:c r="K95" s="2" t="str">
        <x:f>A95&amp;"|"&amp;B95&amp;"|"&amp;C95</x:f>
        <x:v>mastercard|2021|cash_flow_total_end</x:v>
      </x:c>
      <x:c r="L95" s="2"/>
      <x:c r="M95" s="2" t="str">
        <x:f>_xlfn.XLOOKUP(I95,$I$169:$I$174,$M$169:$M$174,"n.a.",0)</x:f>
        <x:v>https://s25.q4cdn.com/479285134/files/doc_financials/2023/AR/2023-annual-report.pdf</x:v>
      </x:c>
      <x:c r="N95" s="2"/>
    </x:row>
    <x:row r="96" ht="23" customHeight="1">
      <x:c r="A96" s="2" t="str">
        <x:v>mastercard</x:v>
      </x:c>
      <x:c r="B96" s="2" t="n">
        <x:v>2021</x:v>
      </x:c>
      <x:c r="C96" s="2" t="str">
        <x:v>capitalized_software_payments</x:v>
      </x:c>
      <x:c r="D96" s="7" t="d">
        <x:v>2021-01-01T00:00:00.000Z</x:v>
      </x:c>
      <x:c r="E96" s="7" t="d">
        <x:v>2021-12-31T00:00:00.000Z</x:v>
      </x:c>
      <x:c r="F96" s="10" t="n">
        <x:v>407000000</x:v>
      </x:c>
      <x:c r="G96" s="2" t="str">
        <x:v>USD</x:v>
      </x:c>
      <x:c r="H96" s="2" t="n">
        <x:v>74</x:v>
      </x:c>
      <x:c r="I96" s="2" t="str">
        <x:v>0001141391-24-000022</x:v>
      </x:c>
      <x:c r="J96" s="2" t="str">
        <x:v>Mastercard FY2023 annual report, PDF p74</x:v>
      </x:c>
      <x:c r="K96" s="2" t="str">
        <x:f>A96&amp;"|"&amp;B96&amp;"|"&amp;C96</x:f>
        <x:v>mastercard|2021|capitalized_software_payments</x:v>
      </x:c>
      <x:c r="L96" s="2"/>
      <x:c r="M96" s="2" t="str">
        <x:f>_xlfn.XLOOKUP(I96,$I$169:$I$174,$M$169:$M$174,"n.a.",0)</x:f>
        <x:v>https://s25.q4cdn.com/479285134/files/doc_financials/2023/AR/2023-annual-report.pdf</x:v>
      </x:c>
      <x:c r="N96" s="2"/>
    </x:row>
    <x:row r="97" ht="23" customHeight="1">
      <x:c r="A97" s="2" t="str">
        <x:v>mastercard</x:v>
      </x:c>
      <x:c r="B97" s="2" t="n">
        <x:v>2021</x:v>
      </x:c>
      <x:c r="C97" s="2" t="str">
        <x:v>redeemable_noncontrolling_interests</x:v>
      </x:c>
      <x:c r="D97" s="7"/>
      <x:c r="E97" s="7" t="d">
        <x:v>2021-12-31T00:00:00.000Z</x:v>
      </x:c>
      <x:c r="F97" s="10" t="n">
        <x:v>29000000</x:v>
      </x:c>
      <x:c r="G97" s="2" t="str">
        <x:v>USD</x:v>
      </x:c>
      <x:c r="H97" s="2" t="n">
        <x:v>65</x:v>
      </x:c>
      <x:c r="I97" s="2" t="str">
        <x:v>0001141391-22-000023</x:v>
      </x:c>
      <x:c r="J97" s="2" t="str">
        <x:v>Mastercard FY2021 annual report, PDF p65</x:v>
      </x:c>
      <x:c r="K97" s="2" t="str">
        <x:f>A97&amp;"|"&amp;B97&amp;"|"&amp;C97</x:f>
        <x:v>mastercard|2021|redeemable_noncontrolling_interests</x:v>
      </x:c>
      <x:c r="L97" s="2"/>
      <x:c r="M97" s="2" t="str">
        <x:f>_xlfn.XLOOKUP(I97,$I$169:$I$174,$M$169:$M$174,"n.a.",0)</x:f>
        <x:v>https://s25.q4cdn.com/479285134/files/doc_financials/2021/q4/MA.12.31.2021-10-K-as-filed-Exhibits.pdf</x:v>
      </x:c>
      <x:c r="N97" s="2"/>
    </x:row>
    <x:row r="98" ht="23" customHeight="1">
      <x:c r="A98" s="2" t="str">
        <x:v>mastercard</x:v>
      </x:c>
      <x:c r="B98" s="2" t="n">
        <x:v>2022</x:v>
      </x:c>
      <x:c r="C98" s="2" t="str">
        <x:v>net_revenue</x:v>
      </x:c>
      <x:c r="D98" s="7" t="d">
        <x:v>2022-01-01T00:00:00.000Z</x:v>
      </x:c>
      <x:c r="E98" s="7" t="d">
        <x:v>2022-12-31T00:00:00.000Z</x:v>
      </x:c>
      <x:c r="F98" s="10" t="n">
        <x:v>22237000000</x:v>
      </x:c>
      <x:c r="G98" s="2" t="str">
        <x:v>USD</x:v>
      </x:c>
      <x:c r="H98" s="2" t="n">
        <x:v>69</x:v>
      </x:c>
      <x:c r="I98" s="2" t="str">
        <x:v>0001141391-24-000022</x:v>
      </x:c>
      <x:c r="J98" s="2" t="str">
        <x:v>Mastercard FY2023 annual report, PDF p69</x:v>
      </x:c>
      <x:c r="K98" s="2" t="str">
        <x:f>A98&amp;"|"&amp;B98&amp;"|"&amp;C98</x:f>
        <x:v>mastercard|2022|net_revenue</x:v>
      </x:c>
      <x:c r="L98" s="2"/>
      <x:c r="M98" s="2" t="str">
        <x:f>_xlfn.XLOOKUP(I98,$I$169:$I$174,$M$169:$M$174,"n.a.",0)</x:f>
        <x:v>https://s25.q4cdn.com/479285134/files/doc_financials/2023/AR/2023-annual-report.pdf</x:v>
      </x:c>
      <x:c r="N98" s="2"/>
    </x:row>
    <x:row r="99" ht="23" customHeight="1">
      <x:c r="A99" s="2" t="str">
        <x:v>mastercard</x:v>
      </x:c>
      <x:c r="B99" s="2" t="n">
        <x:v>2022</x:v>
      </x:c>
      <x:c r="C99" s="2" t="str">
        <x:v>operating_expenses</x:v>
      </x:c>
      <x:c r="D99" s="7" t="d">
        <x:v>2022-01-01T00:00:00.000Z</x:v>
      </x:c>
      <x:c r="E99" s="7" t="d">
        <x:v>2022-12-31T00:00:00.000Z</x:v>
      </x:c>
      <x:c r="F99" s="10" t="n">
        <x:v>9973000000</x:v>
      </x:c>
      <x:c r="G99" s="2" t="str">
        <x:v>USD</x:v>
      </x:c>
      <x:c r="H99" s="2" t="n">
        <x:v>69</x:v>
      </x:c>
      <x:c r="I99" s="2" t="str">
        <x:v>0001141391-24-000022</x:v>
      </x:c>
      <x:c r="J99" s="2" t="str">
        <x:v>Mastercard FY2023 annual report, PDF p69</x:v>
      </x:c>
      <x:c r="K99" s="2" t="str">
        <x:f>A99&amp;"|"&amp;B99&amp;"|"&amp;C99</x:f>
        <x:v>mastercard|2022|operating_expenses</x:v>
      </x:c>
      <x:c r="L99" s="2"/>
      <x:c r="M99" s="2" t="str">
        <x:f>_xlfn.XLOOKUP(I99,$I$169:$I$174,$M$169:$M$174,"n.a.",0)</x:f>
        <x:v>https://s25.q4cdn.com/479285134/files/doc_financials/2023/AR/2023-annual-report.pdf</x:v>
      </x:c>
      <x:c r="N99" s="2"/>
    </x:row>
    <x:row r="100" ht="23" customHeight="1">
      <x:c r="A100" s="2" t="str">
        <x:v>mastercard</x:v>
      </x:c>
      <x:c r="B100" s="2" t="n">
        <x:v>2022</x:v>
      </x:c>
      <x:c r="C100" s="2" t="str">
        <x:v>operating_income</x:v>
      </x:c>
      <x:c r="D100" s="7" t="d">
        <x:v>2022-01-01T00:00:00.000Z</x:v>
      </x:c>
      <x:c r="E100" s="7" t="d">
        <x:v>2022-12-31T00:00:00.000Z</x:v>
      </x:c>
      <x:c r="F100" s="10" t="n">
        <x:v>12264000000</x:v>
      </x:c>
      <x:c r="G100" s="2" t="str">
        <x:v>USD</x:v>
      </x:c>
      <x:c r="H100" s="2" t="n">
        <x:v>69</x:v>
      </x:c>
      <x:c r="I100" s="2" t="str">
        <x:v>0001141391-24-000022</x:v>
      </x:c>
      <x:c r="J100" s="2" t="str">
        <x:v>Mastercard FY2023 annual report, PDF p69</x:v>
      </x:c>
      <x:c r="K100" s="2" t="str">
        <x:f>A100&amp;"|"&amp;B100&amp;"|"&amp;C100</x:f>
        <x:v>mastercard|2022|operating_income</x:v>
      </x:c>
      <x:c r="L100" s="2"/>
      <x:c r="M100" s="2" t="str">
        <x:f>_xlfn.XLOOKUP(I100,$I$169:$I$174,$M$169:$M$174,"n.a.",0)</x:f>
        <x:v>https://s25.q4cdn.com/479285134/files/doc_financials/2023/AR/2023-annual-report.pdf</x:v>
      </x:c>
      <x:c r="N100" s="2"/>
    </x:row>
    <x:row r="101" ht="23" customHeight="1">
      <x:c r="A101" s="2" t="str">
        <x:v>mastercard</x:v>
      </x:c>
      <x:c r="B101" s="2" t="n">
        <x:v>2022</x:v>
      </x:c>
      <x:c r="C101" s="2" t="str">
        <x:v>pretax_income</x:v>
      </x:c>
      <x:c r="D101" s="7" t="d">
        <x:v>2022-01-01T00:00:00.000Z</x:v>
      </x:c>
      <x:c r="E101" s="7" t="d">
        <x:v>2022-12-31T00:00:00.000Z</x:v>
      </x:c>
      <x:c r="F101" s="10" t="n">
        <x:v>11732000000</x:v>
      </x:c>
      <x:c r="G101" s="2" t="str">
        <x:v>USD</x:v>
      </x:c>
      <x:c r="H101" s="2" t="n">
        <x:v>69</x:v>
      </x:c>
      <x:c r="I101" s="2" t="str">
        <x:v>0001141391-24-000022</x:v>
      </x:c>
      <x:c r="J101" s="2" t="str">
        <x:v>Mastercard FY2023 annual report, PDF p69</x:v>
      </x:c>
      <x:c r="K101" s="2" t="str">
        <x:f>A101&amp;"|"&amp;B101&amp;"|"&amp;C101</x:f>
        <x:v>mastercard|2022|pretax_income</x:v>
      </x:c>
      <x:c r="L101" s="2"/>
      <x:c r="M101" s="2" t="str">
        <x:f>_xlfn.XLOOKUP(I101,$I$169:$I$174,$M$169:$M$174,"n.a.",0)</x:f>
        <x:v>https://s25.q4cdn.com/479285134/files/doc_financials/2023/AR/2023-annual-report.pdf</x:v>
      </x:c>
      <x:c r="N101" s="2"/>
    </x:row>
    <x:row r="102" ht="23" customHeight="1">
      <x:c r="A102" s="2" t="str">
        <x:v>mastercard</x:v>
      </x:c>
      <x:c r="B102" s="2" t="n">
        <x:v>2022</x:v>
      </x:c>
      <x:c r="C102" s="2" t="str">
        <x:v>income_tax</x:v>
      </x:c>
      <x:c r="D102" s="7" t="d">
        <x:v>2022-01-01T00:00:00.000Z</x:v>
      </x:c>
      <x:c r="E102" s="7" t="d">
        <x:v>2022-12-31T00:00:00.000Z</x:v>
      </x:c>
      <x:c r="F102" s="10" t="n">
        <x:v>1802000000</x:v>
      </x:c>
      <x:c r="G102" s="2" t="str">
        <x:v>USD</x:v>
      </x:c>
      <x:c r="H102" s="2" t="n">
        <x:v>69</x:v>
      </x:c>
      <x:c r="I102" s="2" t="str">
        <x:v>0001141391-24-000022</x:v>
      </x:c>
      <x:c r="J102" s="2" t="str">
        <x:v>Mastercard FY2023 annual report, PDF p69</x:v>
      </x:c>
      <x:c r="K102" s="2" t="str">
        <x:f>A102&amp;"|"&amp;B102&amp;"|"&amp;C102</x:f>
        <x:v>mastercard|2022|income_tax</x:v>
      </x:c>
      <x:c r="L102" s="2"/>
      <x:c r="M102" s="2" t="str">
        <x:f>_xlfn.XLOOKUP(I102,$I$169:$I$174,$M$169:$M$174,"n.a.",0)</x:f>
        <x:v>https://s25.q4cdn.com/479285134/files/doc_financials/2023/AR/2023-annual-report.pdf</x:v>
      </x:c>
      <x:c r="N102" s="2"/>
    </x:row>
    <x:row r="103" ht="23" customHeight="1">
      <x:c r="A103" s="2" t="str">
        <x:v>mastercard</x:v>
      </x:c>
      <x:c r="B103" s="2" t="n">
        <x:v>2022</x:v>
      </x:c>
      <x:c r="C103" s="2" t="str">
        <x:v>net_income</x:v>
      </x:c>
      <x:c r="D103" s="7" t="d">
        <x:v>2022-01-01T00:00:00.000Z</x:v>
      </x:c>
      <x:c r="E103" s="7" t="d">
        <x:v>2022-12-31T00:00:00.000Z</x:v>
      </x:c>
      <x:c r="F103" s="10" t="n">
        <x:v>9930000000</x:v>
      </x:c>
      <x:c r="G103" s="2" t="str">
        <x:v>USD</x:v>
      </x:c>
      <x:c r="H103" s="2" t="n">
        <x:v>69</x:v>
      </x:c>
      <x:c r="I103" s="2" t="str">
        <x:v>0001141391-24-000022</x:v>
      </x:c>
      <x:c r="J103" s="2" t="str">
        <x:v>Mastercard FY2023 annual report, PDF p69</x:v>
      </x:c>
      <x:c r="K103" s="2" t="str">
        <x:f>A103&amp;"|"&amp;B103&amp;"|"&amp;C103</x:f>
        <x:v>mastercard|2022|net_income</x:v>
      </x:c>
      <x:c r="L103" s="2"/>
      <x:c r="M103" s="2" t="str">
        <x:f>_xlfn.XLOOKUP(I103,$I$169:$I$174,$M$169:$M$174,"n.a.",0)</x:f>
        <x:v>https://s25.q4cdn.com/479285134/files/doc_financials/2023/AR/2023-annual-report.pdf</x:v>
      </x:c>
      <x:c r="N103" s="2"/>
    </x:row>
    <x:row r="104" ht="23" customHeight="1">
      <x:c r="A104" s="2" t="str">
        <x:v>mastercard</x:v>
      </x:c>
      <x:c r="B104" s="2" t="n">
        <x:v>2022</x:v>
      </x:c>
      <x:c r="C104" s="2" t="str">
        <x:v>operating_cash_flow</x:v>
      </x:c>
      <x:c r="D104" s="7" t="d">
        <x:v>2022-01-01T00:00:00.000Z</x:v>
      </x:c>
      <x:c r="E104" s="7" t="d">
        <x:v>2022-12-31T00:00:00.000Z</x:v>
      </x:c>
      <x:c r="F104" s="10" t="n">
        <x:v>11195000000</x:v>
      </x:c>
      <x:c r="G104" s="2" t="str">
        <x:v>USD</x:v>
      </x:c>
      <x:c r="H104" s="2" t="n">
        <x:v>74</x:v>
      </x:c>
      <x:c r="I104" s="2" t="str">
        <x:v>0001141391-24-000022</x:v>
      </x:c>
      <x:c r="J104" s="2" t="str">
        <x:v>Mastercard FY2023 annual report, PDF p74</x:v>
      </x:c>
      <x:c r="K104" s="2" t="str">
        <x:f>A104&amp;"|"&amp;B104&amp;"|"&amp;C104</x:f>
        <x:v>mastercard|2022|operating_cash_flow</x:v>
      </x:c>
      <x:c r="L104" s="2"/>
      <x:c r="M104" s="2" t="str">
        <x:f>_xlfn.XLOOKUP(I104,$I$169:$I$174,$M$169:$M$174,"n.a.",0)</x:f>
        <x:v>https://s25.q4cdn.com/479285134/files/doc_financials/2023/AR/2023-annual-report.pdf</x:v>
      </x:c>
      <x:c r="N104" s="2"/>
    </x:row>
    <x:row r="105" ht="23" customHeight="1">
      <x:c r="A105" s="2" t="str">
        <x:v>mastercard</x:v>
      </x:c>
      <x:c r="B105" s="2" t="n">
        <x:v>2022</x:v>
      </x:c>
      <x:c r="C105" s="2" t="str">
        <x:v>capital_payments_primary</x:v>
      </x:c>
      <x:c r="D105" s="7" t="d">
        <x:v>2022-01-01T00:00:00.000Z</x:v>
      </x:c>
      <x:c r="E105" s="7" t="d">
        <x:v>2022-12-31T00:00:00.000Z</x:v>
      </x:c>
      <x:c r="F105" s="10" t="n">
        <x:v>442000000</x:v>
      </x:c>
      <x:c r="G105" s="2" t="str">
        <x:v>USD</x:v>
      </x:c>
      <x:c r="H105" s="2" t="n">
        <x:v>74</x:v>
      </x:c>
      <x:c r="I105" s="2" t="str">
        <x:v>0001141391-24-000022</x:v>
      </x:c>
      <x:c r="J105" s="2" t="str">
        <x:v>Mastercard FY2023 annual report, PDF p74</x:v>
      </x:c>
      <x:c r="K105" s="2" t="str">
        <x:f>A105&amp;"|"&amp;B105&amp;"|"&amp;C105</x:f>
        <x:v>mastercard|2022|capital_payments_primary</x:v>
      </x:c>
      <x:c r="L105" s="2"/>
      <x:c r="M105" s="2" t="str">
        <x:f>_xlfn.XLOOKUP(I105,$I$169:$I$174,$M$169:$M$174,"n.a.",0)</x:f>
        <x:v>https://s25.q4cdn.com/479285134/files/doc_financials/2023/AR/2023-annual-report.pdf</x:v>
      </x:c>
      <x:c r="N105" s="2"/>
    </x:row>
    <x:row r="106" ht="23" customHeight="1">
      <x:c r="A106" s="2" t="str">
        <x:v>mastercard</x:v>
      </x:c>
      <x:c r="B106" s="2" t="n">
        <x:v>2022</x:v>
      </x:c>
      <x:c r="C106" s="2" t="str">
        <x:v>cash_and_cash_equivalents</x:v>
      </x:c>
      <x:c r="D106" s="7"/>
      <x:c r="E106" s="7" t="d">
        <x:v>2022-12-31T00:00:00.000Z</x:v>
      </x:c>
      <x:c r="F106" s="10" t="n">
        <x:v>7008000000</x:v>
      </x:c>
      <x:c r="G106" s="2" t="str">
        <x:v>USD</x:v>
      </x:c>
      <x:c r="H106" s="2" t="n">
        <x:v>71</x:v>
      </x:c>
      <x:c r="I106" s="2" t="str">
        <x:v>0001141391-24-000022</x:v>
      </x:c>
      <x:c r="J106" s="2" t="str">
        <x:v>Mastercard FY2023 annual report, PDF p71</x:v>
      </x:c>
      <x:c r="K106" s="2" t="str">
        <x:f>A106&amp;"|"&amp;B106&amp;"|"&amp;C106</x:f>
        <x:v>mastercard|2022|cash_and_cash_equivalents</x:v>
      </x:c>
      <x:c r="L106" s="2"/>
      <x:c r="M106" s="2" t="str">
        <x:f>_xlfn.XLOOKUP(I106,$I$169:$I$174,$M$169:$M$174,"n.a.",0)</x:f>
        <x:v>https://s25.q4cdn.com/479285134/files/doc_financials/2023/AR/2023-annual-report.pdf</x:v>
      </x:c>
      <x:c r="N106" s="2"/>
    </x:row>
    <x:row r="107" ht="23" customHeight="1">
      <x:c r="A107" s="2" t="str">
        <x:v>mastercard</x:v>
      </x:c>
      <x:c r="B107" s="2" t="n">
        <x:v>2022</x:v>
      </x:c>
      <x:c r="C107" s="2" t="str">
        <x:v>current_debt</x:v>
      </x:c>
      <x:c r="D107" s="7"/>
      <x:c r="E107" s="7" t="d">
        <x:v>2022-12-31T00:00:00.000Z</x:v>
      </x:c>
      <x:c r="F107" s="10" t="n">
        <x:v>274000000</x:v>
      </x:c>
      <x:c r="G107" s="2" t="str">
        <x:v>USD</x:v>
      </x:c>
      <x:c r="H107" s="2" t="n">
        <x:v>71</x:v>
      </x:c>
      <x:c r="I107" s="2" t="str">
        <x:v>0001141391-24-000022</x:v>
      </x:c>
      <x:c r="J107" s="2" t="str">
        <x:v>Mastercard FY2023 annual report, PDF p71</x:v>
      </x:c>
      <x:c r="K107" s="2" t="str">
        <x:f>A107&amp;"|"&amp;B107&amp;"|"&amp;C107</x:f>
        <x:v>mastercard|2022|current_debt</x:v>
      </x:c>
      <x:c r="L107" s="2"/>
      <x:c r="M107" s="2" t="str">
        <x:f>_xlfn.XLOOKUP(I107,$I$169:$I$174,$M$169:$M$174,"n.a.",0)</x:f>
        <x:v>https://s25.q4cdn.com/479285134/files/doc_financials/2023/AR/2023-annual-report.pdf</x:v>
      </x:c>
      <x:c r="N107" s="2"/>
    </x:row>
    <x:row r="108" ht="23" customHeight="1">
      <x:c r="A108" s="2" t="str">
        <x:v>mastercard</x:v>
      </x:c>
      <x:c r="B108" s="2" t="n">
        <x:v>2022</x:v>
      </x:c>
      <x:c r="C108" s="2" t="str">
        <x:v>noncurrent_debt</x:v>
      </x:c>
      <x:c r="D108" s="7"/>
      <x:c r="E108" s="7" t="d">
        <x:v>2022-12-31T00:00:00.000Z</x:v>
      </x:c>
      <x:c r="F108" s="10" t="n">
        <x:v>13749000000</x:v>
      </x:c>
      <x:c r="G108" s="2" t="str">
        <x:v>USD</x:v>
      </x:c>
      <x:c r="H108" s="2" t="n">
        <x:v>71</x:v>
      </x:c>
      <x:c r="I108" s="2" t="str">
        <x:v>0001141391-24-000022</x:v>
      </x:c>
      <x:c r="J108" s="2" t="str">
        <x:v>Mastercard FY2023 annual report, PDF p71</x:v>
      </x:c>
      <x:c r="K108" s="2" t="str">
        <x:f>A108&amp;"|"&amp;B108&amp;"|"&amp;C108</x:f>
        <x:v>mastercard|2022|noncurrent_debt</x:v>
      </x:c>
      <x:c r="L108" s="2"/>
      <x:c r="M108" s="2" t="str">
        <x:f>_xlfn.XLOOKUP(I108,$I$169:$I$174,$M$169:$M$174,"n.a.",0)</x:f>
        <x:v>https://s25.q4cdn.com/479285134/files/doc_financials/2023/AR/2023-annual-report.pdf</x:v>
      </x:c>
      <x:c r="N108" s="2"/>
    </x:row>
    <x:row r="109" ht="23" customHeight="1">
      <x:c r="A109" s="2" t="str">
        <x:v>mastercard</x:v>
      </x:c>
      <x:c r="B109" s="2" t="n">
        <x:v>2022</x:v>
      </x:c>
      <x:c r="C109" s="2" t="str">
        <x:v>total_assets</x:v>
      </x:c>
      <x:c r="D109" s="7"/>
      <x:c r="E109" s="7" t="d">
        <x:v>2022-12-31T00:00:00.000Z</x:v>
      </x:c>
      <x:c r="F109" s="10" t="n">
        <x:v>38724000000</x:v>
      </x:c>
      <x:c r="G109" s="2" t="str">
        <x:v>USD</x:v>
      </x:c>
      <x:c r="H109" s="2" t="n">
        <x:v>71</x:v>
      </x:c>
      <x:c r="I109" s="2" t="str">
        <x:v>0001141391-24-000022</x:v>
      </x:c>
      <x:c r="J109" s="2" t="str">
        <x:v>Mastercard FY2023 annual report, PDF p71</x:v>
      </x:c>
      <x:c r="K109" s="2" t="str">
        <x:f>A109&amp;"|"&amp;B109&amp;"|"&amp;C109</x:f>
        <x:v>mastercard|2022|total_assets</x:v>
      </x:c>
      <x:c r="L109" s="2"/>
      <x:c r="M109" s="2" t="str">
        <x:f>_xlfn.XLOOKUP(I109,$I$169:$I$174,$M$169:$M$174,"n.a.",0)</x:f>
        <x:v>https://s25.q4cdn.com/479285134/files/doc_financials/2023/AR/2023-annual-report.pdf</x:v>
      </x:c>
      <x:c r="N109" s="2"/>
    </x:row>
    <x:row r="110" ht="23" customHeight="1">
      <x:c r="A110" s="2" t="str">
        <x:v>mastercard</x:v>
      </x:c>
      <x:c r="B110" s="2" t="n">
        <x:v>2022</x:v>
      </x:c>
      <x:c r="C110" s="2" t="str">
        <x:v>total_liabilities</x:v>
      </x:c>
      <x:c r="D110" s="7"/>
      <x:c r="E110" s="7" t="d">
        <x:v>2022-12-31T00:00:00.000Z</x:v>
      </x:c>
      <x:c r="F110" s="10" t="n">
        <x:v>32347000000</x:v>
      </x:c>
      <x:c r="G110" s="2" t="str">
        <x:v>USD</x:v>
      </x:c>
      <x:c r="H110" s="2" t="n">
        <x:v>71</x:v>
      </x:c>
      <x:c r="I110" s="2" t="str">
        <x:v>0001141391-24-000022</x:v>
      </x:c>
      <x:c r="J110" s="2" t="str">
        <x:v>Mastercard FY2023 annual report, PDF p71</x:v>
      </x:c>
      <x:c r="K110" s="2" t="str">
        <x:f>A110&amp;"|"&amp;B110&amp;"|"&amp;C110</x:f>
        <x:v>mastercard|2022|total_liabilities</x:v>
      </x:c>
      <x:c r="L110" s="2"/>
      <x:c r="M110" s="2" t="str">
        <x:f>_xlfn.XLOOKUP(I110,$I$169:$I$174,$M$169:$M$174,"n.a.",0)</x:f>
        <x:v>https://s25.q4cdn.com/479285134/files/doc_financials/2023/AR/2023-annual-report.pdf</x:v>
      </x:c>
      <x:c r="N110" s="2"/>
    </x:row>
    <x:row r="111" ht="23" customHeight="1">
      <x:c r="A111" s="2" t="str">
        <x:v>mastercard</x:v>
      </x:c>
      <x:c r="B111" s="2" t="n">
        <x:v>2022</x:v>
      </x:c>
      <x:c r="C111" s="2" t="str">
        <x:v>total_equity</x:v>
      </x:c>
      <x:c r="D111" s="7"/>
      <x:c r="E111" s="7" t="d">
        <x:v>2022-12-31T00:00:00.000Z</x:v>
      </x:c>
      <x:c r="F111" s="10" t="n">
        <x:v>6356000000</x:v>
      </x:c>
      <x:c r="G111" s="2" t="str">
        <x:v>USD</x:v>
      </x:c>
      <x:c r="H111" s="2" t="n">
        <x:v>71</x:v>
      </x:c>
      <x:c r="I111" s="2" t="str">
        <x:v>0001141391-24-000022</x:v>
      </x:c>
      <x:c r="J111" s="2" t="str">
        <x:v>Mastercard FY2023 annual report, PDF p71</x:v>
      </x:c>
      <x:c r="K111" s="2" t="str">
        <x:f>A111&amp;"|"&amp;B111&amp;"|"&amp;C111</x:f>
        <x:v>mastercard|2022|total_equity</x:v>
      </x:c>
      <x:c r="L111" s="2"/>
      <x:c r="M111" s="2" t="str">
        <x:f>_xlfn.XLOOKUP(I111,$I$169:$I$174,$M$169:$M$174,"n.a.",0)</x:f>
        <x:v>https://s25.q4cdn.com/479285134/files/doc_financials/2023/AR/2023-annual-report.pdf</x:v>
      </x:c>
      <x:c r="N111" s="2"/>
    </x:row>
    <x:row r="112" ht="23" customHeight="1">
      <x:c r="A112" s="2" t="str">
        <x:v>mastercard</x:v>
      </x:c>
      <x:c r="B112" s="2" t="n">
        <x:v>2022</x:v>
      </x:c>
      <x:c r="C112" s="2" t="str">
        <x:v>cash_flow_total_end</x:v>
      </x:c>
      <x:c r="D112" s="7"/>
      <x:c r="E112" s="7" t="d">
        <x:v>2022-12-31T00:00:00.000Z</x:v>
      </x:c>
      <x:c r="F112" s="10" t="n">
        <x:v>9196000000</x:v>
      </x:c>
      <x:c r="G112" s="2" t="str">
        <x:v>USD</x:v>
      </x:c>
      <x:c r="H112" s="2" t="n">
        <x:v>74</x:v>
      </x:c>
      <x:c r="I112" s="2" t="str">
        <x:v>0001141391-24-000022</x:v>
      </x:c>
      <x:c r="J112" s="2" t="str">
        <x:v>Mastercard FY2023 annual report, PDF p74</x:v>
      </x:c>
      <x:c r="K112" s="2" t="str">
        <x:f>A112&amp;"|"&amp;B112&amp;"|"&amp;C112</x:f>
        <x:v>mastercard|2022|cash_flow_total_end</x:v>
      </x:c>
      <x:c r="L112" s="2"/>
      <x:c r="M112" s="2" t="str">
        <x:f>_xlfn.XLOOKUP(I112,$I$169:$I$174,$M$169:$M$174,"n.a.",0)</x:f>
        <x:v>https://s25.q4cdn.com/479285134/files/doc_financials/2023/AR/2023-annual-report.pdf</x:v>
      </x:c>
      <x:c r="N112" s="2"/>
    </x:row>
    <x:row r="113" ht="23" customHeight="1">
      <x:c r="A113" s="2" t="str">
        <x:v>mastercard</x:v>
      </x:c>
      <x:c r="B113" s="2" t="n">
        <x:v>2022</x:v>
      </x:c>
      <x:c r="C113" s="2" t="str">
        <x:v>capitalized_software_payments</x:v>
      </x:c>
      <x:c r="D113" s="7" t="d">
        <x:v>2022-01-01T00:00:00.000Z</x:v>
      </x:c>
      <x:c r="E113" s="7" t="d">
        <x:v>2022-12-31T00:00:00.000Z</x:v>
      </x:c>
      <x:c r="F113" s="10" t="n">
        <x:v>655000000</x:v>
      </x:c>
      <x:c r="G113" s="2" t="str">
        <x:v>USD</x:v>
      </x:c>
      <x:c r="H113" s="2" t="n">
        <x:v>74</x:v>
      </x:c>
      <x:c r="I113" s="2" t="str">
        <x:v>0001141391-24-000022</x:v>
      </x:c>
      <x:c r="J113" s="2" t="str">
        <x:v>Mastercard FY2023 annual report, PDF p74</x:v>
      </x:c>
      <x:c r="K113" s="2" t="str">
        <x:f>A113&amp;"|"&amp;B113&amp;"|"&amp;C113</x:f>
        <x:v>mastercard|2022|capitalized_software_payments</x:v>
      </x:c>
      <x:c r="L113" s="2"/>
      <x:c r="M113" s="2" t="str">
        <x:f>_xlfn.XLOOKUP(I113,$I$169:$I$174,$M$169:$M$174,"n.a.",0)</x:f>
        <x:v>https://s25.q4cdn.com/479285134/files/doc_financials/2023/AR/2023-annual-report.pdf</x:v>
      </x:c>
      <x:c r="N113" s="2"/>
    </x:row>
    <x:row r="114" ht="23" customHeight="1">
      <x:c r="A114" s="2" t="str">
        <x:v>mastercard</x:v>
      </x:c>
      <x:c r="B114" s="2" t="n">
        <x:v>2022</x:v>
      </x:c>
      <x:c r="C114" s="2" t="str">
        <x:v>redeemable_noncontrolling_interests</x:v>
      </x:c>
      <x:c r="D114" s="7"/>
      <x:c r="E114" s="7" t="d">
        <x:v>2022-12-31T00:00:00.000Z</x:v>
      </x:c>
      <x:c r="F114" s="10" t="n">
        <x:v>21000000</x:v>
      </x:c>
      <x:c r="G114" s="2" t="str">
        <x:v>USD</x:v>
      </x:c>
      <x:c r="H114" s="2" t="n">
        <x:v>71</x:v>
      </x:c>
      <x:c r="I114" s="2" t="str">
        <x:v>0001141391-24-000022</x:v>
      </x:c>
      <x:c r="J114" s="2" t="str">
        <x:v>Mastercard FY2023 annual report, PDF p71</x:v>
      </x:c>
      <x:c r="K114" s="2" t="str">
        <x:f>A114&amp;"|"&amp;B114&amp;"|"&amp;C114</x:f>
        <x:v>mastercard|2022|redeemable_noncontrolling_interests</x:v>
      </x:c>
      <x:c r="L114" s="2"/>
      <x:c r="M114" s="2" t="str">
        <x:f>_xlfn.XLOOKUP(I114,$I$169:$I$174,$M$169:$M$174,"n.a.",0)</x:f>
        <x:v>https://s25.q4cdn.com/479285134/files/doc_financials/2023/AR/2023-annual-report.pdf</x:v>
      </x:c>
      <x:c r="N114" s="2"/>
    </x:row>
    <x:row r="115" ht="23" customHeight="1">
      <x:c r="A115" s="2" t="str">
        <x:v>mastercard</x:v>
      </x:c>
      <x:c r="B115" s="2" t="n">
        <x:v>2023</x:v>
      </x:c>
      <x:c r="C115" s="2" t="str">
        <x:v>net_revenue</x:v>
      </x:c>
      <x:c r="D115" s="7" t="d">
        <x:v>2023-01-01T00:00:00.000Z</x:v>
      </x:c>
      <x:c r="E115" s="7" t="d">
        <x:v>2023-12-31T00:00:00.000Z</x:v>
      </x:c>
      <x:c r="F115" s="10" t="n">
        <x:v>25098000000</x:v>
      </x:c>
      <x:c r="G115" s="2" t="str">
        <x:v>USD</x:v>
      </x:c>
      <x:c r="H115" s="2" t="n">
        <x:v>69</x:v>
      </x:c>
      <x:c r="I115" s="2" t="str">
        <x:v>0001141391-26-000013</x:v>
      </x:c>
      <x:c r="J115" s="2" t="str">
        <x:v>Mastercard FY2025 annual report, PDF p69</x:v>
      </x:c>
      <x:c r="K115" s="2" t="str">
        <x:f>A115&amp;"|"&amp;B115&amp;"|"&amp;C115</x:f>
        <x:v>mastercard|2023|net_revenue</x:v>
      </x:c>
      <x:c r="L115" s="2"/>
      <x:c r="M115" s="2" t="str">
        <x:f>_xlfn.XLOOKUP(I115,$I$169:$I$174,$M$169:$M$174,"n.a.",0)</x:f>
        <x:v>https://s25.q4cdn.com/479285134/files/doc_financials/2025/q4/MA-12-31-2025-10-K-as-filed-with-standard-exhibits.pdf</x:v>
      </x:c>
      <x:c r="N115" s="2"/>
    </x:row>
    <x:row r="116" ht="23" customHeight="1">
      <x:c r="A116" s="2" t="str">
        <x:v>mastercard</x:v>
      </x:c>
      <x:c r="B116" s="2" t="n">
        <x:v>2023</x:v>
      </x:c>
      <x:c r="C116" s="2" t="str">
        <x:v>operating_expenses</x:v>
      </x:c>
      <x:c r="D116" s="7" t="d">
        <x:v>2023-01-01T00:00:00.000Z</x:v>
      </x:c>
      <x:c r="E116" s="7" t="d">
        <x:v>2023-12-31T00:00:00.000Z</x:v>
      </x:c>
      <x:c r="F116" s="10" t="n">
        <x:v>11090000000</x:v>
      </x:c>
      <x:c r="G116" s="2" t="str">
        <x:v>USD</x:v>
      </x:c>
      <x:c r="H116" s="2" t="n">
        <x:v>69</x:v>
      </x:c>
      <x:c r="I116" s="2" t="str">
        <x:v>0001141391-26-000013</x:v>
      </x:c>
      <x:c r="J116" s="2" t="str">
        <x:v>Mastercard FY2025 annual report, PDF p69</x:v>
      </x:c>
      <x:c r="K116" s="2" t="str">
        <x:f>A116&amp;"|"&amp;B116&amp;"|"&amp;C116</x:f>
        <x:v>mastercard|2023|operating_expenses</x:v>
      </x:c>
      <x:c r="L116" s="2"/>
      <x:c r="M116" s="2" t="str">
        <x:f>_xlfn.XLOOKUP(I116,$I$169:$I$174,$M$169:$M$174,"n.a.",0)</x:f>
        <x:v>https://s25.q4cdn.com/479285134/files/doc_financials/2025/q4/MA-12-31-2025-10-K-as-filed-with-standard-exhibits.pdf</x:v>
      </x:c>
      <x:c r="N116" s="2"/>
    </x:row>
    <x:row r="117" ht="23" customHeight="1">
      <x:c r="A117" s="2" t="str">
        <x:v>mastercard</x:v>
      </x:c>
      <x:c r="B117" s="2" t="n">
        <x:v>2023</x:v>
      </x:c>
      <x:c r="C117" s="2" t="str">
        <x:v>operating_income</x:v>
      </x:c>
      <x:c r="D117" s="7" t="d">
        <x:v>2023-01-01T00:00:00.000Z</x:v>
      </x:c>
      <x:c r="E117" s="7" t="d">
        <x:v>2023-12-31T00:00:00.000Z</x:v>
      </x:c>
      <x:c r="F117" s="10" t="n">
        <x:v>14008000000</x:v>
      </x:c>
      <x:c r="G117" s="2" t="str">
        <x:v>USD</x:v>
      </x:c>
      <x:c r="H117" s="2" t="n">
        <x:v>69</x:v>
      </x:c>
      <x:c r="I117" s="2" t="str">
        <x:v>0001141391-26-000013</x:v>
      </x:c>
      <x:c r="J117" s="2" t="str">
        <x:v>Mastercard FY2025 annual report, PDF p69</x:v>
      </x:c>
      <x:c r="K117" s="2" t="str">
        <x:f>A117&amp;"|"&amp;B117&amp;"|"&amp;C117</x:f>
        <x:v>mastercard|2023|operating_income</x:v>
      </x:c>
      <x:c r="L117" s="2"/>
      <x:c r="M117" s="2" t="str">
        <x:f>_xlfn.XLOOKUP(I117,$I$169:$I$174,$M$169:$M$174,"n.a.",0)</x:f>
        <x:v>https://s25.q4cdn.com/479285134/files/doc_financials/2025/q4/MA-12-31-2025-10-K-as-filed-with-standard-exhibits.pdf</x:v>
      </x:c>
      <x:c r="N117" s="2"/>
    </x:row>
    <x:row r="118" ht="23" customHeight="1">
      <x:c r="A118" s="2" t="str">
        <x:v>mastercard</x:v>
      </x:c>
      <x:c r="B118" s="2" t="n">
        <x:v>2023</x:v>
      </x:c>
      <x:c r="C118" s="2" t="str">
        <x:v>pretax_income</x:v>
      </x:c>
      <x:c r="D118" s="7" t="d">
        <x:v>2023-01-01T00:00:00.000Z</x:v>
      </x:c>
      <x:c r="E118" s="7" t="d">
        <x:v>2023-12-31T00:00:00.000Z</x:v>
      </x:c>
      <x:c r="F118" s="10" t="n">
        <x:v>13639000000</x:v>
      </x:c>
      <x:c r="G118" s="2" t="str">
        <x:v>USD</x:v>
      </x:c>
      <x:c r="H118" s="2" t="n">
        <x:v>69</x:v>
      </x:c>
      <x:c r="I118" s="2" t="str">
        <x:v>0001141391-26-000013</x:v>
      </x:c>
      <x:c r="J118" s="2" t="str">
        <x:v>Mastercard FY2025 annual report, PDF p69</x:v>
      </x:c>
      <x:c r="K118" s="2" t="str">
        <x:f>A118&amp;"|"&amp;B118&amp;"|"&amp;C118</x:f>
        <x:v>mastercard|2023|pretax_income</x:v>
      </x:c>
      <x:c r="L118" s="2"/>
      <x:c r="M118" s="2" t="str">
        <x:f>_xlfn.XLOOKUP(I118,$I$169:$I$174,$M$169:$M$174,"n.a.",0)</x:f>
        <x:v>https://s25.q4cdn.com/479285134/files/doc_financials/2025/q4/MA-12-31-2025-10-K-as-filed-with-standard-exhibits.pdf</x:v>
      </x:c>
      <x:c r="N118" s="2"/>
    </x:row>
    <x:row r="119" ht="23" customHeight="1">
      <x:c r="A119" s="2" t="str">
        <x:v>mastercard</x:v>
      </x:c>
      <x:c r="B119" s="2" t="n">
        <x:v>2023</x:v>
      </x:c>
      <x:c r="C119" s="2" t="str">
        <x:v>income_tax</x:v>
      </x:c>
      <x:c r="D119" s="7" t="d">
        <x:v>2023-01-01T00:00:00.000Z</x:v>
      </x:c>
      <x:c r="E119" s="7" t="d">
        <x:v>2023-12-31T00:00:00.000Z</x:v>
      </x:c>
      <x:c r="F119" s="10" t="n">
        <x:v>2444000000</x:v>
      </x:c>
      <x:c r="G119" s="2" t="str">
        <x:v>USD</x:v>
      </x:c>
      <x:c r="H119" s="2" t="n">
        <x:v>69</x:v>
      </x:c>
      <x:c r="I119" s="2" t="str">
        <x:v>0001141391-26-000013</x:v>
      </x:c>
      <x:c r="J119" s="2" t="str">
        <x:v>Mastercard FY2025 annual report, PDF p69</x:v>
      </x:c>
      <x:c r="K119" s="2" t="str">
        <x:f>A119&amp;"|"&amp;B119&amp;"|"&amp;C119</x:f>
        <x:v>mastercard|2023|income_tax</x:v>
      </x:c>
      <x:c r="L119" s="2"/>
      <x:c r="M119" s="2" t="str">
        <x:f>_xlfn.XLOOKUP(I119,$I$169:$I$174,$M$169:$M$174,"n.a.",0)</x:f>
        <x:v>https://s25.q4cdn.com/479285134/files/doc_financials/2025/q4/MA-12-31-2025-10-K-as-filed-with-standard-exhibits.pdf</x:v>
      </x:c>
      <x:c r="N119" s="2"/>
    </x:row>
    <x:row r="120" ht="23" customHeight="1">
      <x:c r="A120" s="2" t="str">
        <x:v>mastercard</x:v>
      </x:c>
      <x:c r="B120" s="2" t="n">
        <x:v>2023</x:v>
      </x:c>
      <x:c r="C120" s="2" t="str">
        <x:v>net_income</x:v>
      </x:c>
      <x:c r="D120" s="7" t="d">
        <x:v>2023-01-01T00:00:00.000Z</x:v>
      </x:c>
      <x:c r="E120" s="7" t="d">
        <x:v>2023-12-31T00:00:00.000Z</x:v>
      </x:c>
      <x:c r="F120" s="10" t="n">
        <x:v>11195000000</x:v>
      </x:c>
      <x:c r="G120" s="2" t="str">
        <x:v>USD</x:v>
      </x:c>
      <x:c r="H120" s="2" t="n">
        <x:v>69</x:v>
      </x:c>
      <x:c r="I120" s="2" t="str">
        <x:v>0001141391-26-000013</x:v>
      </x:c>
      <x:c r="J120" s="2" t="str">
        <x:v>Mastercard FY2025 annual report, PDF p69</x:v>
      </x:c>
      <x:c r="K120" s="2" t="str">
        <x:f>A120&amp;"|"&amp;B120&amp;"|"&amp;C120</x:f>
        <x:v>mastercard|2023|net_income</x:v>
      </x:c>
      <x:c r="L120" s="2"/>
      <x:c r="M120" s="2" t="str">
        <x:f>_xlfn.XLOOKUP(I120,$I$169:$I$174,$M$169:$M$174,"n.a.",0)</x:f>
        <x:v>https://s25.q4cdn.com/479285134/files/doc_financials/2025/q4/MA-12-31-2025-10-K-as-filed-with-standard-exhibits.pdf</x:v>
      </x:c>
      <x:c r="N120" s="2"/>
    </x:row>
    <x:row r="121" ht="23" customHeight="1">
      <x:c r="A121" s="2" t="str">
        <x:v>mastercard</x:v>
      </x:c>
      <x:c r="B121" s="2" t="n">
        <x:v>2023</x:v>
      </x:c>
      <x:c r="C121" s="2" t="str">
        <x:v>operating_cash_flow</x:v>
      </x:c>
      <x:c r="D121" s="7" t="d">
        <x:v>2023-01-01T00:00:00.000Z</x:v>
      </x:c>
      <x:c r="E121" s="7" t="d">
        <x:v>2023-12-31T00:00:00.000Z</x:v>
      </x:c>
      <x:c r="F121" s="10" t="n">
        <x:v>11980000000</x:v>
      </x:c>
      <x:c r="G121" s="2" t="str">
        <x:v>USD</x:v>
      </x:c>
      <x:c r="H121" s="2" t="n">
        <x:v>74</x:v>
      </x:c>
      <x:c r="I121" s="2" t="str">
        <x:v>0001141391-26-000013</x:v>
      </x:c>
      <x:c r="J121" s="2" t="str">
        <x:v>Mastercard FY2025 annual report, PDF p74</x:v>
      </x:c>
      <x:c r="K121" s="2" t="str">
        <x:f>A121&amp;"|"&amp;B121&amp;"|"&amp;C121</x:f>
        <x:v>mastercard|2023|operating_cash_flow</x:v>
      </x:c>
      <x:c r="L121" s="2"/>
      <x:c r="M121" s="2" t="str">
        <x:f>_xlfn.XLOOKUP(I121,$I$169:$I$174,$M$169:$M$174,"n.a.",0)</x:f>
        <x:v>https://s25.q4cdn.com/479285134/files/doc_financials/2025/q4/MA-12-31-2025-10-K-as-filed-with-standard-exhibits.pdf</x:v>
      </x:c>
      <x:c r="N121" s="2"/>
    </x:row>
    <x:row r="122" ht="23" customHeight="1">
      <x:c r="A122" s="2" t="str">
        <x:v>mastercard</x:v>
      </x:c>
      <x:c r="B122" s="2" t="n">
        <x:v>2023</x:v>
      </x:c>
      <x:c r="C122" s="2" t="str">
        <x:v>capital_payments_primary</x:v>
      </x:c>
      <x:c r="D122" s="7" t="d">
        <x:v>2023-01-01T00:00:00.000Z</x:v>
      </x:c>
      <x:c r="E122" s="7" t="d">
        <x:v>2023-12-31T00:00:00.000Z</x:v>
      </x:c>
      <x:c r="F122" s="10" t="n">
        <x:v>371000000</x:v>
      </x:c>
      <x:c r="G122" s="2" t="str">
        <x:v>USD</x:v>
      </x:c>
      <x:c r="H122" s="2" t="n">
        <x:v>74</x:v>
      </x:c>
      <x:c r="I122" s="2" t="str">
        <x:v>0001141391-26-000013</x:v>
      </x:c>
      <x:c r="J122" s="2" t="str">
        <x:v>Mastercard FY2025 annual report, PDF p74</x:v>
      </x:c>
      <x:c r="K122" s="2" t="str">
        <x:f>A122&amp;"|"&amp;B122&amp;"|"&amp;C122</x:f>
        <x:v>mastercard|2023|capital_payments_primary</x:v>
      </x:c>
      <x:c r="L122" s="2"/>
      <x:c r="M122" s="2" t="str">
        <x:f>_xlfn.XLOOKUP(I122,$I$169:$I$174,$M$169:$M$174,"n.a.",0)</x:f>
        <x:v>https://s25.q4cdn.com/479285134/files/doc_financials/2025/q4/MA-12-31-2025-10-K-as-filed-with-standard-exhibits.pdf</x:v>
      </x:c>
      <x:c r="N122" s="2"/>
    </x:row>
    <x:row r="123" ht="23" customHeight="1">
      <x:c r="A123" s="2" t="str">
        <x:v>mastercard</x:v>
      </x:c>
      <x:c r="B123" s="2" t="n">
        <x:v>2023</x:v>
      </x:c>
      <x:c r="C123" s="2" t="str">
        <x:v>cash_and_cash_equivalents</x:v>
      </x:c>
      <x:c r="D123" s="7"/>
      <x:c r="E123" s="7" t="d">
        <x:v>2023-12-31T00:00:00.000Z</x:v>
      </x:c>
      <x:c r="F123" s="10" t="n">
        <x:v>8588000000</x:v>
      </x:c>
      <x:c r="G123" s="2" t="str">
        <x:v>USD</x:v>
      </x:c>
      <x:c r="H123" s="2" t="n">
        <x:v>71</x:v>
      </x:c>
      <x:c r="I123" s="2" t="str">
        <x:v>0001141391-24-000022</x:v>
      </x:c>
      <x:c r="J123" s="2" t="str">
        <x:v>Mastercard FY2023 annual report, PDF p71</x:v>
      </x:c>
      <x:c r="K123" s="2" t="str">
        <x:f>A123&amp;"|"&amp;B123&amp;"|"&amp;C123</x:f>
        <x:v>mastercard|2023|cash_and_cash_equivalents</x:v>
      </x:c>
      <x:c r="L123" s="2"/>
      <x:c r="M123" s="2" t="str">
        <x:f>_xlfn.XLOOKUP(I123,$I$169:$I$174,$M$169:$M$174,"n.a.",0)</x:f>
        <x:v>https://s25.q4cdn.com/479285134/files/doc_financials/2023/AR/2023-annual-report.pdf</x:v>
      </x:c>
      <x:c r="N123" s="2"/>
    </x:row>
    <x:row r="124" ht="23" customHeight="1">
      <x:c r="A124" s="2" t="str">
        <x:v>mastercard</x:v>
      </x:c>
      <x:c r="B124" s="2" t="n">
        <x:v>2023</x:v>
      </x:c>
      <x:c r="C124" s="2" t="str">
        <x:v>current_debt</x:v>
      </x:c>
      <x:c r="D124" s="7"/>
      <x:c r="E124" s="7" t="d">
        <x:v>2023-12-31T00:00:00.000Z</x:v>
      </x:c>
      <x:c r="F124" s="10" t="n">
        <x:v>1337000000</x:v>
      </x:c>
      <x:c r="G124" s="2" t="str">
        <x:v>USD</x:v>
      </x:c>
      <x:c r="H124" s="2" t="n">
        <x:v>71</x:v>
      </x:c>
      <x:c r="I124" s="2" t="str">
        <x:v>0001141391-24-000022</x:v>
      </x:c>
      <x:c r="J124" s="2" t="str">
        <x:v>Mastercard FY2023 annual report, PDF p71</x:v>
      </x:c>
      <x:c r="K124" s="2" t="str">
        <x:f>A124&amp;"|"&amp;B124&amp;"|"&amp;C124</x:f>
        <x:v>mastercard|2023|current_debt</x:v>
      </x:c>
      <x:c r="L124" s="2"/>
      <x:c r="M124" s="2" t="str">
        <x:f>_xlfn.XLOOKUP(I124,$I$169:$I$174,$M$169:$M$174,"n.a.",0)</x:f>
        <x:v>https://s25.q4cdn.com/479285134/files/doc_financials/2023/AR/2023-annual-report.pdf</x:v>
      </x:c>
      <x:c r="N124" s="2"/>
    </x:row>
    <x:row r="125" ht="23" customHeight="1">
      <x:c r="A125" s="2" t="str">
        <x:v>mastercard</x:v>
      </x:c>
      <x:c r="B125" s="2" t="n">
        <x:v>2023</x:v>
      </x:c>
      <x:c r="C125" s="2" t="str">
        <x:v>noncurrent_debt</x:v>
      </x:c>
      <x:c r="D125" s="7"/>
      <x:c r="E125" s="7" t="d">
        <x:v>2023-12-31T00:00:00.000Z</x:v>
      </x:c>
      <x:c r="F125" s="10" t="n">
        <x:v>14344000000</x:v>
      </x:c>
      <x:c r="G125" s="2" t="str">
        <x:v>USD</x:v>
      </x:c>
      <x:c r="H125" s="2" t="n">
        <x:v>71</x:v>
      </x:c>
      <x:c r="I125" s="2" t="str">
        <x:v>0001141391-24-000022</x:v>
      </x:c>
      <x:c r="J125" s="2" t="str">
        <x:v>Mastercard FY2023 annual report, PDF p71</x:v>
      </x:c>
      <x:c r="K125" s="2" t="str">
        <x:f>A125&amp;"|"&amp;B125&amp;"|"&amp;C125</x:f>
        <x:v>mastercard|2023|noncurrent_debt</x:v>
      </x:c>
      <x:c r="L125" s="2"/>
      <x:c r="M125" s="2" t="str">
        <x:f>_xlfn.XLOOKUP(I125,$I$169:$I$174,$M$169:$M$174,"n.a.",0)</x:f>
        <x:v>https://s25.q4cdn.com/479285134/files/doc_financials/2023/AR/2023-annual-report.pdf</x:v>
      </x:c>
      <x:c r="N125" s="2"/>
    </x:row>
    <x:row r="126" ht="23" customHeight="1">
      <x:c r="A126" s="2" t="str">
        <x:v>mastercard</x:v>
      </x:c>
      <x:c r="B126" s="2" t="n">
        <x:v>2023</x:v>
      </x:c>
      <x:c r="C126" s="2" t="str">
        <x:v>total_assets</x:v>
      </x:c>
      <x:c r="D126" s="7"/>
      <x:c r="E126" s="7" t="d">
        <x:v>2023-12-31T00:00:00.000Z</x:v>
      </x:c>
      <x:c r="F126" s="10" t="n">
        <x:v>42448000000</x:v>
      </x:c>
      <x:c r="G126" s="2" t="str">
        <x:v>USD</x:v>
      </x:c>
      <x:c r="H126" s="2" t="n">
        <x:v>71</x:v>
      </x:c>
      <x:c r="I126" s="2" t="str">
        <x:v>0001141391-24-000022</x:v>
      </x:c>
      <x:c r="J126" s="2" t="str">
        <x:v>Mastercard FY2023 annual report, PDF p71</x:v>
      </x:c>
      <x:c r="K126" s="2" t="str">
        <x:f>A126&amp;"|"&amp;B126&amp;"|"&amp;C126</x:f>
        <x:v>mastercard|2023|total_assets</x:v>
      </x:c>
      <x:c r="L126" s="2"/>
      <x:c r="M126" s="2" t="str">
        <x:f>_xlfn.XLOOKUP(I126,$I$169:$I$174,$M$169:$M$174,"n.a.",0)</x:f>
        <x:v>https://s25.q4cdn.com/479285134/files/doc_financials/2023/AR/2023-annual-report.pdf</x:v>
      </x:c>
      <x:c r="N126" s="2"/>
    </x:row>
    <x:row r="127" ht="23" customHeight="1">
      <x:c r="A127" s="2" t="str">
        <x:v>mastercard</x:v>
      </x:c>
      <x:c r="B127" s="2" t="n">
        <x:v>2023</x:v>
      </x:c>
      <x:c r="C127" s="2" t="str">
        <x:v>total_liabilities</x:v>
      </x:c>
      <x:c r="D127" s="7"/>
      <x:c r="E127" s="7" t="d">
        <x:v>2023-12-31T00:00:00.000Z</x:v>
      </x:c>
      <x:c r="F127" s="10" t="n">
        <x:v>35451000000</x:v>
      </x:c>
      <x:c r="G127" s="2" t="str">
        <x:v>USD</x:v>
      </x:c>
      <x:c r="H127" s="2" t="n">
        <x:v>71</x:v>
      </x:c>
      <x:c r="I127" s="2" t="str">
        <x:v>0001141391-24-000022</x:v>
      </x:c>
      <x:c r="J127" s="2" t="str">
        <x:v>Mastercard FY2023 annual report, PDF p71</x:v>
      </x:c>
      <x:c r="K127" s="2" t="str">
        <x:f>A127&amp;"|"&amp;B127&amp;"|"&amp;C127</x:f>
        <x:v>mastercard|2023|total_liabilities</x:v>
      </x:c>
      <x:c r="L127" s="2"/>
      <x:c r="M127" s="2" t="str">
        <x:f>_xlfn.XLOOKUP(I127,$I$169:$I$174,$M$169:$M$174,"n.a.",0)</x:f>
        <x:v>https://s25.q4cdn.com/479285134/files/doc_financials/2023/AR/2023-annual-report.pdf</x:v>
      </x:c>
      <x:c r="N127" s="2"/>
    </x:row>
    <x:row r="128" ht="23" customHeight="1">
      <x:c r="A128" s="2" t="str">
        <x:v>mastercard</x:v>
      </x:c>
      <x:c r="B128" s="2" t="n">
        <x:v>2023</x:v>
      </x:c>
      <x:c r="C128" s="2" t="str">
        <x:v>total_equity</x:v>
      </x:c>
      <x:c r="D128" s="7"/>
      <x:c r="E128" s="7" t="d">
        <x:v>2023-12-31T00:00:00.000Z</x:v>
      </x:c>
      <x:c r="F128" s="10" t="n">
        <x:v>6975000000</x:v>
      </x:c>
      <x:c r="G128" s="2" t="str">
        <x:v>USD</x:v>
      </x:c>
      <x:c r="H128" s="2" t="n">
        <x:v>71</x:v>
      </x:c>
      <x:c r="I128" s="2" t="str">
        <x:v>0001141391-24-000022</x:v>
      </x:c>
      <x:c r="J128" s="2" t="str">
        <x:v>Mastercard FY2023 annual report, PDF p71</x:v>
      </x:c>
      <x:c r="K128" s="2" t="str">
        <x:f>A128&amp;"|"&amp;B128&amp;"|"&amp;C128</x:f>
        <x:v>mastercard|2023|total_equity</x:v>
      </x:c>
      <x:c r="L128" s="2"/>
      <x:c r="M128" s="2" t="str">
        <x:f>_xlfn.XLOOKUP(I128,$I$169:$I$174,$M$169:$M$174,"n.a.",0)</x:f>
        <x:v>https://s25.q4cdn.com/479285134/files/doc_financials/2023/AR/2023-annual-report.pdf</x:v>
      </x:c>
      <x:c r="N128" s="2"/>
    </x:row>
    <x:row r="129" ht="23" customHeight="1">
      <x:c r="A129" s="2" t="str">
        <x:v>mastercard</x:v>
      </x:c>
      <x:c r="B129" s="2" t="n">
        <x:v>2023</x:v>
      </x:c>
      <x:c r="C129" s="2" t="str">
        <x:v>cash_flow_total_end</x:v>
      </x:c>
      <x:c r="D129" s="7"/>
      <x:c r="E129" s="7" t="d">
        <x:v>2023-12-31T00:00:00.000Z</x:v>
      </x:c>
      <x:c r="F129" s="10" t="n">
        <x:v>10465000000</x:v>
      </x:c>
      <x:c r="G129" s="2" t="str">
        <x:v>USD</x:v>
      </x:c>
      <x:c r="H129" s="2" t="n">
        <x:v>74</x:v>
      </x:c>
      <x:c r="I129" s="2" t="str">
        <x:v>0001141391-26-000013</x:v>
      </x:c>
      <x:c r="J129" s="2" t="str">
        <x:v>Mastercard FY2025 annual report, PDF p74</x:v>
      </x:c>
      <x:c r="K129" s="2" t="str">
        <x:f>A129&amp;"|"&amp;B129&amp;"|"&amp;C129</x:f>
        <x:v>mastercard|2023|cash_flow_total_end</x:v>
      </x:c>
      <x:c r="L129" s="2"/>
      <x:c r="M129" s="2" t="str">
        <x:f>_xlfn.XLOOKUP(I129,$I$169:$I$174,$M$169:$M$174,"n.a.",0)</x:f>
        <x:v>https://s25.q4cdn.com/479285134/files/doc_financials/2025/q4/MA-12-31-2025-10-K-as-filed-with-standard-exhibits.pdf</x:v>
      </x:c>
      <x:c r="N129" s="2"/>
    </x:row>
    <x:row r="130" ht="23" customHeight="1">
      <x:c r="A130" s="2" t="str">
        <x:v>mastercard</x:v>
      </x:c>
      <x:c r="B130" s="2" t="n">
        <x:v>2023</x:v>
      </x:c>
      <x:c r="C130" s="2" t="str">
        <x:v>capitalized_software_payments</x:v>
      </x:c>
      <x:c r="D130" s="7" t="d">
        <x:v>2023-01-01T00:00:00.000Z</x:v>
      </x:c>
      <x:c r="E130" s="7" t="d">
        <x:v>2023-12-31T00:00:00.000Z</x:v>
      </x:c>
      <x:c r="F130" s="10" t="n">
        <x:v>717000000</x:v>
      </x:c>
      <x:c r="G130" s="2" t="str">
        <x:v>USD</x:v>
      </x:c>
      <x:c r="H130" s="2" t="n">
        <x:v>74</x:v>
      </x:c>
      <x:c r="I130" s="2" t="str">
        <x:v>0001141391-26-000013</x:v>
      </x:c>
      <x:c r="J130" s="2" t="str">
        <x:v>Mastercard FY2025 annual report, PDF p74</x:v>
      </x:c>
      <x:c r="K130" s="2" t="str">
        <x:f>A130&amp;"|"&amp;B130&amp;"|"&amp;C130</x:f>
        <x:v>mastercard|2023|capitalized_software_payments</x:v>
      </x:c>
      <x:c r="L130" s="2"/>
      <x:c r="M130" s="2" t="str">
        <x:f>_xlfn.XLOOKUP(I130,$I$169:$I$174,$M$169:$M$174,"n.a.",0)</x:f>
        <x:v>https://s25.q4cdn.com/479285134/files/doc_financials/2025/q4/MA-12-31-2025-10-K-as-filed-with-standard-exhibits.pdf</x:v>
      </x:c>
      <x:c r="N130" s="2"/>
    </x:row>
    <x:row r="131" ht="23" customHeight="1">
      <x:c r="A131" s="2" t="str">
        <x:v>mastercard</x:v>
      </x:c>
      <x:c r="B131" s="2" t="n">
        <x:v>2023</x:v>
      </x:c>
      <x:c r="C131" s="2" t="str">
        <x:v>redeemable_noncontrolling_interests</x:v>
      </x:c>
      <x:c r="D131" s="7"/>
      <x:c r="E131" s="7" t="d">
        <x:v>2023-12-31T00:00:00.000Z</x:v>
      </x:c>
      <x:c r="F131" s="10" t="n">
        <x:v>22000000</x:v>
      </x:c>
      <x:c r="G131" s="2" t="str">
        <x:v>USD</x:v>
      </x:c>
      <x:c r="H131" s="2" t="n">
        <x:v>71</x:v>
      </x:c>
      <x:c r="I131" s="2" t="str">
        <x:v>0001141391-24-000022</x:v>
      </x:c>
      <x:c r="J131" s="2" t="str">
        <x:v>Mastercard FY2023 annual report, PDF p71</x:v>
      </x:c>
      <x:c r="K131" s="2" t="str">
        <x:f>A131&amp;"|"&amp;B131&amp;"|"&amp;C131</x:f>
        <x:v>mastercard|2023|redeemable_noncontrolling_interests</x:v>
      </x:c>
      <x:c r="L131" s="2"/>
      <x:c r="M131" s="2" t="str">
        <x:f>_xlfn.XLOOKUP(I131,$I$169:$I$174,$M$169:$M$174,"n.a.",0)</x:f>
        <x:v>https://s25.q4cdn.com/479285134/files/doc_financials/2023/AR/2023-annual-report.pdf</x:v>
      </x:c>
      <x:c r="N131" s="2"/>
    </x:row>
    <x:row r="132" ht="23" customHeight="1">
      <x:c r="A132" s="2" t="str">
        <x:v>mastercard</x:v>
      </x:c>
      <x:c r="B132" s="2" t="n">
        <x:v>2024</x:v>
      </x:c>
      <x:c r="C132" s="2" t="str">
        <x:v>net_revenue</x:v>
      </x:c>
      <x:c r="D132" s="7" t="d">
        <x:v>2024-01-01T00:00:00.000Z</x:v>
      </x:c>
      <x:c r="E132" s="7" t="d">
        <x:v>2024-12-31T00:00:00.000Z</x:v>
      </x:c>
      <x:c r="F132" s="10" t="n">
        <x:v>28167000000</x:v>
      </x:c>
      <x:c r="G132" s="2" t="str">
        <x:v>USD</x:v>
      </x:c>
      <x:c r="H132" s="2" t="n">
        <x:v>69</x:v>
      </x:c>
      <x:c r="I132" s="2" t="str">
        <x:v>0001141391-26-000013</x:v>
      </x:c>
      <x:c r="J132" s="2" t="str">
        <x:v>Mastercard FY2025 annual report, PDF p69</x:v>
      </x:c>
      <x:c r="K132" s="2" t="str">
        <x:f>A132&amp;"|"&amp;B132&amp;"|"&amp;C132</x:f>
        <x:v>mastercard|2024|net_revenue</x:v>
      </x:c>
      <x:c r="L132" s="2"/>
      <x:c r="M132" s="2" t="str">
        <x:f>_xlfn.XLOOKUP(I132,$I$169:$I$174,$M$169:$M$174,"n.a.",0)</x:f>
        <x:v>https://s25.q4cdn.com/479285134/files/doc_financials/2025/q4/MA-12-31-2025-10-K-as-filed-with-standard-exhibits.pdf</x:v>
      </x:c>
      <x:c r="N132" s="2"/>
    </x:row>
    <x:row r="133" ht="23" customHeight="1">
      <x:c r="A133" s="2" t="str">
        <x:v>mastercard</x:v>
      </x:c>
      <x:c r="B133" s="2" t="n">
        <x:v>2024</x:v>
      </x:c>
      <x:c r="C133" s="2" t="str">
        <x:v>operating_expenses</x:v>
      </x:c>
      <x:c r="D133" s="7" t="d">
        <x:v>2024-01-01T00:00:00.000Z</x:v>
      </x:c>
      <x:c r="E133" s="7" t="d">
        <x:v>2024-12-31T00:00:00.000Z</x:v>
      </x:c>
      <x:c r="F133" s="10" t="n">
        <x:v>12585000000</x:v>
      </x:c>
      <x:c r="G133" s="2" t="str">
        <x:v>USD</x:v>
      </x:c>
      <x:c r="H133" s="2" t="n">
        <x:v>69</x:v>
      </x:c>
      <x:c r="I133" s="2" t="str">
        <x:v>0001141391-26-000013</x:v>
      </x:c>
      <x:c r="J133" s="2" t="str">
        <x:v>Mastercard FY2025 annual report, PDF p69</x:v>
      </x:c>
      <x:c r="K133" s="2" t="str">
        <x:f>A133&amp;"|"&amp;B133&amp;"|"&amp;C133</x:f>
        <x:v>mastercard|2024|operating_expenses</x:v>
      </x:c>
      <x:c r="L133" s="2"/>
      <x:c r="M133" s="2" t="str">
        <x:f>_xlfn.XLOOKUP(I133,$I$169:$I$174,$M$169:$M$174,"n.a.",0)</x:f>
        <x:v>https://s25.q4cdn.com/479285134/files/doc_financials/2025/q4/MA-12-31-2025-10-K-as-filed-with-standard-exhibits.pdf</x:v>
      </x:c>
      <x:c r="N133" s="2"/>
    </x:row>
    <x:row r="134" ht="23" customHeight="1">
      <x:c r="A134" s="2" t="str">
        <x:v>mastercard</x:v>
      </x:c>
      <x:c r="B134" s="2" t="n">
        <x:v>2024</x:v>
      </x:c>
      <x:c r="C134" s="2" t="str">
        <x:v>operating_income</x:v>
      </x:c>
      <x:c r="D134" s="7" t="d">
        <x:v>2024-01-01T00:00:00.000Z</x:v>
      </x:c>
      <x:c r="E134" s="7" t="d">
        <x:v>2024-12-31T00:00:00.000Z</x:v>
      </x:c>
      <x:c r="F134" s="10" t="n">
        <x:v>15582000000</x:v>
      </x:c>
      <x:c r="G134" s="2" t="str">
        <x:v>USD</x:v>
      </x:c>
      <x:c r="H134" s="2" t="n">
        <x:v>69</x:v>
      </x:c>
      <x:c r="I134" s="2" t="str">
        <x:v>0001141391-26-000013</x:v>
      </x:c>
      <x:c r="J134" s="2" t="str">
        <x:v>Mastercard FY2025 annual report, PDF p69</x:v>
      </x:c>
      <x:c r="K134" s="2" t="str">
        <x:f>A134&amp;"|"&amp;B134&amp;"|"&amp;C134</x:f>
        <x:v>mastercard|2024|operating_income</x:v>
      </x:c>
      <x:c r="L134" s="2"/>
      <x:c r="M134" s="2" t="str">
        <x:f>_xlfn.XLOOKUP(I134,$I$169:$I$174,$M$169:$M$174,"n.a.",0)</x:f>
        <x:v>https://s25.q4cdn.com/479285134/files/doc_financials/2025/q4/MA-12-31-2025-10-K-as-filed-with-standard-exhibits.pdf</x:v>
      </x:c>
      <x:c r="N134" s="2"/>
    </x:row>
    <x:row r="135" ht="23" customHeight="1">
      <x:c r="A135" s="2" t="str">
        <x:v>mastercard</x:v>
      </x:c>
      <x:c r="B135" s="2" t="n">
        <x:v>2024</x:v>
      </x:c>
      <x:c r="C135" s="2" t="str">
        <x:v>pretax_income</x:v>
      </x:c>
      <x:c r="D135" s="7" t="d">
        <x:v>2024-01-01T00:00:00.000Z</x:v>
      </x:c>
      <x:c r="E135" s="7" t="d">
        <x:v>2024-12-31T00:00:00.000Z</x:v>
      </x:c>
      <x:c r="F135" s="10" t="n">
        <x:v>15254000000</x:v>
      </x:c>
      <x:c r="G135" s="2" t="str">
        <x:v>USD</x:v>
      </x:c>
      <x:c r="H135" s="2" t="n">
        <x:v>69</x:v>
      </x:c>
      <x:c r="I135" s="2" t="str">
        <x:v>0001141391-26-000013</x:v>
      </x:c>
      <x:c r="J135" s="2" t="str">
        <x:v>Mastercard FY2025 annual report, PDF p69</x:v>
      </x:c>
      <x:c r="K135" s="2" t="str">
        <x:f>A135&amp;"|"&amp;B135&amp;"|"&amp;C135</x:f>
        <x:v>mastercard|2024|pretax_income</x:v>
      </x:c>
      <x:c r="L135" s="2"/>
      <x:c r="M135" s="2" t="str">
        <x:f>_xlfn.XLOOKUP(I135,$I$169:$I$174,$M$169:$M$174,"n.a.",0)</x:f>
        <x:v>https://s25.q4cdn.com/479285134/files/doc_financials/2025/q4/MA-12-31-2025-10-K-as-filed-with-standard-exhibits.pdf</x:v>
      </x:c>
      <x:c r="N135" s="2"/>
    </x:row>
    <x:row r="136" ht="23" customHeight="1">
      <x:c r="A136" s="2" t="str">
        <x:v>mastercard</x:v>
      </x:c>
      <x:c r="B136" s="2" t="n">
        <x:v>2024</x:v>
      </x:c>
      <x:c r="C136" s="2" t="str">
        <x:v>income_tax</x:v>
      </x:c>
      <x:c r="D136" s="7" t="d">
        <x:v>2024-01-01T00:00:00.000Z</x:v>
      </x:c>
      <x:c r="E136" s="7" t="d">
        <x:v>2024-12-31T00:00:00.000Z</x:v>
      </x:c>
      <x:c r="F136" s="10" t="n">
        <x:v>2380000000</x:v>
      </x:c>
      <x:c r="G136" s="2" t="str">
        <x:v>USD</x:v>
      </x:c>
      <x:c r="H136" s="2" t="n">
        <x:v>69</x:v>
      </x:c>
      <x:c r="I136" s="2" t="str">
        <x:v>0001141391-26-000013</x:v>
      </x:c>
      <x:c r="J136" s="2" t="str">
        <x:v>Mastercard FY2025 annual report, PDF p69</x:v>
      </x:c>
      <x:c r="K136" s="2" t="str">
        <x:f>A136&amp;"|"&amp;B136&amp;"|"&amp;C136</x:f>
        <x:v>mastercard|2024|income_tax</x:v>
      </x:c>
      <x:c r="L136" s="2"/>
      <x:c r="M136" s="2" t="str">
        <x:f>_xlfn.XLOOKUP(I136,$I$169:$I$174,$M$169:$M$174,"n.a.",0)</x:f>
        <x:v>https://s25.q4cdn.com/479285134/files/doc_financials/2025/q4/MA-12-31-2025-10-K-as-filed-with-standard-exhibits.pdf</x:v>
      </x:c>
      <x:c r="N136" s="2"/>
    </x:row>
    <x:row r="137" ht="23" customHeight="1">
      <x:c r="A137" s="2" t="str">
        <x:v>mastercard</x:v>
      </x:c>
      <x:c r="B137" s="2" t="n">
        <x:v>2024</x:v>
      </x:c>
      <x:c r="C137" s="2" t="str">
        <x:v>net_income</x:v>
      </x:c>
      <x:c r="D137" s="7" t="d">
        <x:v>2024-01-01T00:00:00.000Z</x:v>
      </x:c>
      <x:c r="E137" s="7" t="d">
        <x:v>2024-12-31T00:00:00.000Z</x:v>
      </x:c>
      <x:c r="F137" s="10" t="n">
        <x:v>12874000000</x:v>
      </x:c>
      <x:c r="G137" s="2" t="str">
        <x:v>USD</x:v>
      </x:c>
      <x:c r="H137" s="2" t="n">
        <x:v>69</x:v>
      </x:c>
      <x:c r="I137" s="2" t="str">
        <x:v>0001141391-26-000013</x:v>
      </x:c>
      <x:c r="J137" s="2" t="str">
        <x:v>Mastercard FY2025 annual report, PDF p69</x:v>
      </x:c>
      <x:c r="K137" s="2" t="str">
        <x:f>A137&amp;"|"&amp;B137&amp;"|"&amp;C137</x:f>
        <x:v>mastercard|2024|net_income</x:v>
      </x:c>
      <x:c r="L137" s="2"/>
      <x:c r="M137" s="2" t="str">
        <x:f>_xlfn.XLOOKUP(I137,$I$169:$I$174,$M$169:$M$174,"n.a.",0)</x:f>
        <x:v>https://s25.q4cdn.com/479285134/files/doc_financials/2025/q4/MA-12-31-2025-10-K-as-filed-with-standard-exhibits.pdf</x:v>
      </x:c>
      <x:c r="N137" s="2"/>
    </x:row>
    <x:row r="138" ht="23" customHeight="1">
      <x:c r="A138" s="2" t="str">
        <x:v>mastercard</x:v>
      </x:c>
      <x:c r="B138" s="2" t="n">
        <x:v>2024</x:v>
      </x:c>
      <x:c r="C138" s="2" t="str">
        <x:v>operating_cash_flow</x:v>
      </x:c>
      <x:c r="D138" s="7" t="d">
        <x:v>2024-01-01T00:00:00.000Z</x:v>
      </x:c>
      <x:c r="E138" s="7" t="d">
        <x:v>2024-12-31T00:00:00.000Z</x:v>
      </x:c>
      <x:c r="F138" s="10" t="n">
        <x:v>14780000000</x:v>
      </x:c>
      <x:c r="G138" s="2" t="str">
        <x:v>USD</x:v>
      </x:c>
      <x:c r="H138" s="2" t="n">
        <x:v>74</x:v>
      </x:c>
      <x:c r="I138" s="2" t="str">
        <x:v>0001141391-26-000013</x:v>
      </x:c>
      <x:c r="J138" s="2" t="str">
        <x:v>Mastercard FY2025 annual report, PDF p74</x:v>
      </x:c>
      <x:c r="K138" s="2" t="str">
        <x:f>A138&amp;"|"&amp;B138&amp;"|"&amp;C138</x:f>
        <x:v>mastercard|2024|operating_cash_flow</x:v>
      </x:c>
      <x:c r="L138" s="2"/>
      <x:c r="M138" s="2" t="str">
        <x:f>_xlfn.XLOOKUP(I138,$I$169:$I$174,$M$169:$M$174,"n.a.",0)</x:f>
        <x:v>https://s25.q4cdn.com/479285134/files/doc_financials/2025/q4/MA-12-31-2025-10-K-as-filed-with-standard-exhibits.pdf</x:v>
      </x:c>
      <x:c r="N138" s="2"/>
    </x:row>
    <x:row r="139" ht="23" customHeight="1">
      <x:c r="A139" s="2" t="str">
        <x:v>mastercard</x:v>
      </x:c>
      <x:c r="B139" s="2" t="n">
        <x:v>2024</x:v>
      </x:c>
      <x:c r="C139" s="2" t="str">
        <x:v>capital_payments_primary</x:v>
      </x:c>
      <x:c r="D139" s="7" t="d">
        <x:v>2024-01-01T00:00:00.000Z</x:v>
      </x:c>
      <x:c r="E139" s="7" t="d">
        <x:v>2024-12-31T00:00:00.000Z</x:v>
      </x:c>
      <x:c r="F139" s="10" t="n">
        <x:v>474000000</x:v>
      </x:c>
      <x:c r="G139" s="2" t="str">
        <x:v>USD</x:v>
      </x:c>
      <x:c r="H139" s="2" t="n">
        <x:v>74</x:v>
      </x:c>
      <x:c r="I139" s="2" t="str">
        <x:v>0001141391-26-000013</x:v>
      </x:c>
      <x:c r="J139" s="2" t="str">
        <x:v>Mastercard FY2025 annual report, PDF p74</x:v>
      </x:c>
      <x:c r="K139" s="2" t="str">
        <x:f>A139&amp;"|"&amp;B139&amp;"|"&amp;C139</x:f>
        <x:v>mastercard|2024|capital_payments_primary</x:v>
      </x:c>
      <x:c r="L139" s="2"/>
      <x:c r="M139" s="2" t="str">
        <x:f>_xlfn.XLOOKUP(I139,$I$169:$I$174,$M$169:$M$174,"n.a.",0)</x:f>
        <x:v>https://s25.q4cdn.com/479285134/files/doc_financials/2025/q4/MA-12-31-2025-10-K-as-filed-with-standard-exhibits.pdf</x:v>
      </x:c>
      <x:c r="N139" s="2"/>
    </x:row>
    <x:row r="140" ht="23" customHeight="1">
      <x:c r="A140" s="2" t="str">
        <x:v>mastercard</x:v>
      </x:c>
      <x:c r="B140" s="2" t="n">
        <x:v>2024</x:v>
      </x:c>
      <x:c r="C140" s="2" t="str">
        <x:v>cash_and_cash_equivalents</x:v>
      </x:c>
      <x:c r="D140" s="7"/>
      <x:c r="E140" s="7" t="d">
        <x:v>2024-12-31T00:00:00.000Z</x:v>
      </x:c>
      <x:c r="F140" s="10" t="n">
        <x:v>8442000000</x:v>
      </x:c>
      <x:c r="G140" s="2" t="str">
        <x:v>USD</x:v>
      </x:c>
      <x:c r="H140" s="2" t="n">
        <x:v>71</x:v>
      </x:c>
      <x:c r="I140" s="2" t="str">
        <x:v>0001141391-26-000013</x:v>
      </x:c>
      <x:c r="J140" s="2" t="str">
        <x:v>Mastercard FY2025 annual report, PDF p71</x:v>
      </x:c>
      <x:c r="K140" s="2" t="str">
        <x:f>A140&amp;"|"&amp;B140&amp;"|"&amp;C140</x:f>
        <x:v>mastercard|2024|cash_and_cash_equivalents</x:v>
      </x:c>
      <x:c r="L140" s="2"/>
      <x:c r="M140" s="2" t="str">
        <x:f>_xlfn.XLOOKUP(I140,$I$169:$I$174,$M$169:$M$174,"n.a.",0)</x:f>
        <x:v>https://s25.q4cdn.com/479285134/files/doc_financials/2025/q4/MA-12-31-2025-10-K-as-filed-with-standard-exhibits.pdf</x:v>
      </x:c>
      <x:c r="N140" s="2"/>
    </x:row>
    <x:row r="141" ht="23" customHeight="1">
      <x:c r="A141" s="2" t="str">
        <x:v>mastercard</x:v>
      </x:c>
      <x:c r="B141" s="2" t="n">
        <x:v>2024</x:v>
      </x:c>
      <x:c r="C141" s="2" t="str">
        <x:v>current_debt</x:v>
      </x:c>
      <x:c r="D141" s="7"/>
      <x:c r="E141" s="7" t="d">
        <x:v>2024-12-31T00:00:00.000Z</x:v>
      </x:c>
      <x:c r="F141" s="10" t="n">
        <x:v>750000000</x:v>
      </x:c>
      <x:c r="G141" s="2" t="str">
        <x:v>USD</x:v>
      </x:c>
      <x:c r="H141" s="2" t="n">
        <x:v>71</x:v>
      </x:c>
      <x:c r="I141" s="2" t="str">
        <x:v>0001141391-26-000013</x:v>
      </x:c>
      <x:c r="J141" s="2" t="str">
        <x:v>Mastercard FY2025 annual report, PDF p71</x:v>
      </x:c>
      <x:c r="K141" s="2" t="str">
        <x:f>A141&amp;"|"&amp;B141&amp;"|"&amp;C141</x:f>
        <x:v>mastercard|2024|current_debt</x:v>
      </x:c>
      <x:c r="L141" s="2"/>
      <x:c r="M141" s="2" t="str">
        <x:f>_xlfn.XLOOKUP(I141,$I$169:$I$174,$M$169:$M$174,"n.a.",0)</x:f>
        <x:v>https://s25.q4cdn.com/479285134/files/doc_financials/2025/q4/MA-12-31-2025-10-K-as-filed-with-standard-exhibits.pdf</x:v>
      </x:c>
      <x:c r="N141" s="2"/>
    </x:row>
    <x:row r="142" ht="23" customHeight="1">
      <x:c r="A142" s="2" t="str">
        <x:v>mastercard</x:v>
      </x:c>
      <x:c r="B142" s="2" t="n">
        <x:v>2024</x:v>
      </x:c>
      <x:c r="C142" s="2" t="str">
        <x:v>noncurrent_debt</x:v>
      </x:c>
      <x:c r="D142" s="7"/>
      <x:c r="E142" s="7" t="d">
        <x:v>2024-12-31T00:00:00.000Z</x:v>
      </x:c>
      <x:c r="F142" s="10" t="n">
        <x:v>17476000000</x:v>
      </x:c>
      <x:c r="G142" s="2" t="str">
        <x:v>USD</x:v>
      </x:c>
      <x:c r="H142" s="2" t="n">
        <x:v>71</x:v>
      </x:c>
      <x:c r="I142" s="2" t="str">
        <x:v>0001141391-26-000013</x:v>
      </x:c>
      <x:c r="J142" s="2" t="str">
        <x:v>Mastercard FY2025 annual report, PDF p71</x:v>
      </x:c>
      <x:c r="K142" s="2" t="str">
        <x:f>A142&amp;"|"&amp;B142&amp;"|"&amp;C142</x:f>
        <x:v>mastercard|2024|noncurrent_debt</x:v>
      </x:c>
      <x:c r="L142" s="2"/>
      <x:c r="M142" s="2" t="str">
        <x:f>_xlfn.XLOOKUP(I142,$I$169:$I$174,$M$169:$M$174,"n.a.",0)</x:f>
        <x:v>https://s25.q4cdn.com/479285134/files/doc_financials/2025/q4/MA-12-31-2025-10-K-as-filed-with-standard-exhibits.pdf</x:v>
      </x:c>
      <x:c r="N142" s="2"/>
    </x:row>
    <x:row r="143" ht="23" customHeight="1">
      <x:c r="A143" s="2" t="str">
        <x:v>mastercard</x:v>
      </x:c>
      <x:c r="B143" s="2" t="n">
        <x:v>2024</x:v>
      </x:c>
      <x:c r="C143" s="2" t="str">
        <x:v>total_assets</x:v>
      </x:c>
      <x:c r="D143" s="7"/>
      <x:c r="E143" s="7" t="d">
        <x:v>2024-12-31T00:00:00.000Z</x:v>
      </x:c>
      <x:c r="F143" s="10" t="n">
        <x:v>48081000000</x:v>
      </x:c>
      <x:c r="G143" s="2" t="str">
        <x:v>USD</x:v>
      </x:c>
      <x:c r="H143" s="2" t="n">
        <x:v>71</x:v>
      </x:c>
      <x:c r="I143" s="2" t="str">
        <x:v>0001141391-26-000013</x:v>
      </x:c>
      <x:c r="J143" s="2" t="str">
        <x:v>Mastercard FY2025 annual report, PDF p71</x:v>
      </x:c>
      <x:c r="K143" s="2" t="str">
        <x:f>A143&amp;"|"&amp;B143&amp;"|"&amp;C143</x:f>
        <x:v>mastercard|2024|total_assets</x:v>
      </x:c>
      <x:c r="L143" s="2"/>
      <x:c r="M143" s="2" t="str">
        <x:f>_xlfn.XLOOKUP(I143,$I$169:$I$174,$M$169:$M$174,"n.a.",0)</x:f>
        <x:v>https://s25.q4cdn.com/479285134/files/doc_financials/2025/q4/MA-12-31-2025-10-K-as-filed-with-standard-exhibits.pdf</x:v>
      </x:c>
      <x:c r="N143" s="2"/>
    </x:row>
    <x:row r="144" ht="23" customHeight="1">
      <x:c r="A144" s="2" t="str">
        <x:v>mastercard</x:v>
      </x:c>
      <x:c r="B144" s="2" t="n">
        <x:v>2024</x:v>
      </x:c>
      <x:c r="C144" s="2" t="str">
        <x:v>total_liabilities</x:v>
      </x:c>
      <x:c r="D144" s="7"/>
      <x:c r="E144" s="7" t="d">
        <x:v>2024-12-31T00:00:00.000Z</x:v>
      </x:c>
      <x:c r="F144" s="10" t="n">
        <x:v>41566000000</x:v>
      </x:c>
      <x:c r="G144" s="2" t="str">
        <x:v>USD</x:v>
      </x:c>
      <x:c r="H144" s="2" t="n">
        <x:v>71</x:v>
      </x:c>
      <x:c r="I144" s="2" t="str">
        <x:v>0001141391-26-000013</x:v>
      </x:c>
      <x:c r="J144" s="2" t="str">
        <x:v>Mastercard FY2025 annual report, PDF p71</x:v>
      </x:c>
      <x:c r="K144" s="2" t="str">
        <x:f>A144&amp;"|"&amp;B144&amp;"|"&amp;C144</x:f>
        <x:v>mastercard|2024|total_liabilities</x:v>
      </x:c>
      <x:c r="L144" s="2"/>
      <x:c r="M144" s="2" t="str">
        <x:f>_xlfn.XLOOKUP(I144,$I$169:$I$174,$M$169:$M$174,"n.a.",0)</x:f>
        <x:v>https://s25.q4cdn.com/479285134/files/doc_financials/2025/q4/MA-12-31-2025-10-K-as-filed-with-standard-exhibits.pdf</x:v>
      </x:c>
      <x:c r="N144" s="2"/>
    </x:row>
    <x:row r="145" ht="23" customHeight="1">
      <x:c r="A145" s="2" t="str">
        <x:v>mastercard</x:v>
      </x:c>
      <x:c r="B145" s="2" t="n">
        <x:v>2024</x:v>
      </x:c>
      <x:c r="C145" s="2" t="str">
        <x:v>total_equity</x:v>
      </x:c>
      <x:c r="D145" s="7"/>
      <x:c r="E145" s="7" t="d">
        <x:v>2024-12-31T00:00:00.000Z</x:v>
      </x:c>
      <x:c r="F145" s="10" t="n">
        <x:v>6515000000</x:v>
      </x:c>
      <x:c r="G145" s="2" t="str">
        <x:v>USD</x:v>
      </x:c>
      <x:c r="H145" s="2" t="n">
        <x:v>71</x:v>
      </x:c>
      <x:c r="I145" s="2" t="str">
        <x:v>0001141391-26-000013</x:v>
      </x:c>
      <x:c r="J145" s="2" t="str">
        <x:v>Mastercard FY2025 annual report, PDF p71</x:v>
      </x:c>
      <x:c r="K145" s="2" t="str">
        <x:f>A145&amp;"|"&amp;B145&amp;"|"&amp;C145</x:f>
        <x:v>mastercard|2024|total_equity</x:v>
      </x:c>
      <x:c r="L145" s="2"/>
      <x:c r="M145" s="2" t="str">
        <x:f>_xlfn.XLOOKUP(I145,$I$169:$I$174,$M$169:$M$174,"n.a.",0)</x:f>
        <x:v>https://s25.q4cdn.com/479285134/files/doc_financials/2025/q4/MA-12-31-2025-10-K-as-filed-with-standard-exhibits.pdf</x:v>
      </x:c>
      <x:c r="N145" s="2"/>
    </x:row>
    <x:row r="146" ht="23" customHeight="1">
      <x:c r="A146" s="2" t="str">
        <x:v>mastercard</x:v>
      </x:c>
      <x:c r="B146" s="2" t="n">
        <x:v>2024</x:v>
      </x:c>
      <x:c r="C146" s="2" t="str">
        <x:v>cash_flow_total_end</x:v>
      </x:c>
      <x:c r="D146" s="7"/>
      <x:c r="E146" s="7" t="d">
        <x:v>2024-12-31T00:00:00.000Z</x:v>
      </x:c>
      <x:c r="F146" s="10" t="n">
        <x:v>10808000000</x:v>
      </x:c>
      <x:c r="G146" s="2" t="str">
        <x:v>USD</x:v>
      </x:c>
      <x:c r="H146" s="2" t="n">
        <x:v>74</x:v>
      </x:c>
      <x:c r="I146" s="2" t="str">
        <x:v>0001141391-26-000013</x:v>
      </x:c>
      <x:c r="J146" s="2" t="str">
        <x:v>Mastercard FY2025 annual report, PDF p74</x:v>
      </x:c>
      <x:c r="K146" s="2" t="str">
        <x:f>A146&amp;"|"&amp;B146&amp;"|"&amp;C146</x:f>
        <x:v>mastercard|2024|cash_flow_total_end</x:v>
      </x:c>
      <x:c r="L146" s="2"/>
      <x:c r="M146" s="2" t="str">
        <x:f>_xlfn.XLOOKUP(I146,$I$169:$I$174,$M$169:$M$174,"n.a.",0)</x:f>
        <x:v>https://s25.q4cdn.com/479285134/files/doc_financials/2025/q4/MA-12-31-2025-10-K-as-filed-with-standard-exhibits.pdf</x:v>
      </x:c>
      <x:c r="N146" s="2"/>
    </x:row>
    <x:row r="147" ht="23" customHeight="1">
      <x:c r="A147" s="2" t="str">
        <x:v>mastercard</x:v>
      </x:c>
      <x:c r="B147" s="2" t="n">
        <x:v>2024</x:v>
      </x:c>
      <x:c r="C147" s="2" t="str">
        <x:v>capitalized_software_payments</x:v>
      </x:c>
      <x:c r="D147" s="7" t="d">
        <x:v>2024-01-01T00:00:00.000Z</x:v>
      </x:c>
      <x:c r="E147" s="7" t="d">
        <x:v>2024-12-31T00:00:00.000Z</x:v>
      </x:c>
      <x:c r="F147" s="10" t="n">
        <x:v>720000000</x:v>
      </x:c>
      <x:c r="G147" s="2" t="str">
        <x:v>USD</x:v>
      </x:c>
      <x:c r="H147" s="2" t="n">
        <x:v>74</x:v>
      </x:c>
      <x:c r="I147" s="2" t="str">
        <x:v>0001141391-26-000013</x:v>
      </x:c>
      <x:c r="J147" s="2" t="str">
        <x:v>Mastercard FY2025 annual report, PDF p74</x:v>
      </x:c>
      <x:c r="K147" s="2" t="str">
        <x:f>A147&amp;"|"&amp;B147&amp;"|"&amp;C147</x:f>
        <x:v>mastercard|2024|capitalized_software_payments</x:v>
      </x:c>
      <x:c r="L147" s="2"/>
      <x:c r="M147" s="2" t="str">
        <x:f>_xlfn.XLOOKUP(I147,$I$169:$I$174,$M$169:$M$174,"n.a.",0)</x:f>
        <x:v>https://s25.q4cdn.com/479285134/files/doc_financials/2025/q4/MA-12-31-2025-10-K-as-filed-with-standard-exhibits.pdf</x:v>
      </x:c>
      <x:c r="N147" s="2"/>
    </x:row>
    <x:row r="148" ht="23" customHeight="1">
      <x:c r="A148" s="2" t="str">
        <x:v>mastercard</x:v>
      </x:c>
      <x:c r="B148" s="2" t="n">
        <x:v>2025</x:v>
      </x:c>
      <x:c r="C148" s="2" t="str">
        <x:v>net_revenue</x:v>
      </x:c>
      <x:c r="D148" s="7" t="d">
        <x:v>2025-01-01T00:00:00.000Z</x:v>
      </x:c>
      <x:c r="E148" s="7" t="d">
        <x:v>2025-12-31T00:00:00.000Z</x:v>
      </x:c>
      <x:c r="F148" s="10" t="n">
        <x:v>32791000000</x:v>
      </x:c>
      <x:c r="G148" s="2" t="str">
        <x:v>USD</x:v>
      </x:c>
      <x:c r="H148" s="2" t="n">
        <x:v>69</x:v>
      </x:c>
      <x:c r="I148" s="2" t="str">
        <x:v>0001141391-26-000013</x:v>
      </x:c>
      <x:c r="J148" s="2" t="str">
        <x:v>Mastercard FY2025 annual report, PDF p69</x:v>
      </x:c>
      <x:c r="K148" s="2" t="str">
        <x:f>A148&amp;"|"&amp;B148&amp;"|"&amp;C148</x:f>
        <x:v>mastercard|2025|net_revenue</x:v>
      </x:c>
      <x:c r="L148" s="2"/>
      <x:c r="M148" s="2" t="str">
        <x:f>_xlfn.XLOOKUP(I148,$I$169:$I$174,$M$169:$M$174,"n.a.",0)</x:f>
        <x:v>https://s25.q4cdn.com/479285134/files/doc_financials/2025/q4/MA-12-31-2025-10-K-as-filed-with-standard-exhibits.pdf</x:v>
      </x:c>
      <x:c r="N148" s="2"/>
    </x:row>
    <x:row r="149" ht="23" customHeight="1">
      <x:c r="A149" s="2" t="str">
        <x:v>mastercard</x:v>
      </x:c>
      <x:c r="B149" s="2" t="n">
        <x:v>2025</x:v>
      </x:c>
      <x:c r="C149" s="2" t="str">
        <x:v>operating_expenses</x:v>
      </x:c>
      <x:c r="D149" s="7" t="d">
        <x:v>2025-01-01T00:00:00.000Z</x:v>
      </x:c>
      <x:c r="E149" s="7" t="d">
        <x:v>2025-12-31T00:00:00.000Z</x:v>
      </x:c>
      <x:c r="F149" s="10" t="n">
        <x:v>13894000000</x:v>
      </x:c>
      <x:c r="G149" s="2" t="str">
        <x:v>USD</x:v>
      </x:c>
      <x:c r="H149" s="2" t="n">
        <x:v>69</x:v>
      </x:c>
      <x:c r="I149" s="2" t="str">
        <x:v>0001141391-26-000013</x:v>
      </x:c>
      <x:c r="J149" s="2" t="str">
        <x:v>Mastercard FY2025 annual report, PDF p69</x:v>
      </x:c>
      <x:c r="K149" s="2" t="str">
        <x:f>A149&amp;"|"&amp;B149&amp;"|"&amp;C149</x:f>
        <x:v>mastercard|2025|operating_expenses</x:v>
      </x:c>
      <x:c r="L149" s="2"/>
      <x:c r="M149" s="2" t="str">
        <x:f>_xlfn.XLOOKUP(I149,$I$169:$I$174,$M$169:$M$174,"n.a.",0)</x:f>
        <x:v>https://s25.q4cdn.com/479285134/files/doc_financials/2025/q4/MA-12-31-2025-10-K-as-filed-with-standard-exhibits.pdf</x:v>
      </x:c>
      <x:c r="N149" s="2"/>
    </x:row>
    <x:row r="150" ht="23" customHeight="1">
      <x:c r="A150" s="2" t="str">
        <x:v>mastercard</x:v>
      </x:c>
      <x:c r="B150" s="2" t="n">
        <x:v>2025</x:v>
      </x:c>
      <x:c r="C150" s="2" t="str">
        <x:v>operating_income</x:v>
      </x:c>
      <x:c r="D150" s="7" t="d">
        <x:v>2025-01-01T00:00:00.000Z</x:v>
      </x:c>
      <x:c r="E150" s="7" t="d">
        <x:v>2025-12-31T00:00:00.000Z</x:v>
      </x:c>
      <x:c r="F150" s="10" t="n">
        <x:v>18897000000</x:v>
      </x:c>
      <x:c r="G150" s="2" t="str">
        <x:v>USD</x:v>
      </x:c>
      <x:c r="H150" s="2" t="n">
        <x:v>69</x:v>
      </x:c>
      <x:c r="I150" s="2" t="str">
        <x:v>0001141391-26-000013</x:v>
      </x:c>
      <x:c r="J150" s="2" t="str">
        <x:v>Mastercard FY2025 annual report, PDF p69</x:v>
      </x:c>
      <x:c r="K150" s="2" t="str">
        <x:f>A150&amp;"|"&amp;B150&amp;"|"&amp;C150</x:f>
        <x:v>mastercard|2025|operating_income</x:v>
      </x:c>
      <x:c r="L150" s="2"/>
      <x:c r="M150" s="2" t="str">
        <x:f>_xlfn.XLOOKUP(I150,$I$169:$I$174,$M$169:$M$174,"n.a.",0)</x:f>
        <x:v>https://s25.q4cdn.com/479285134/files/doc_financials/2025/q4/MA-12-31-2025-10-K-as-filed-with-standard-exhibits.pdf</x:v>
      </x:c>
      <x:c r="N150" s="2"/>
    </x:row>
    <x:row r="151" ht="23" customHeight="1">
      <x:c r="A151" s="2" t="str">
        <x:v>mastercard</x:v>
      </x:c>
      <x:c r="B151" s="2" t="n">
        <x:v>2025</x:v>
      </x:c>
      <x:c r="C151" s="2" t="str">
        <x:v>pretax_income</x:v>
      </x:c>
      <x:c r="D151" s="7" t="d">
        <x:v>2025-01-01T00:00:00.000Z</x:v>
      </x:c>
      <x:c r="E151" s="7" t="d">
        <x:v>2025-12-31T00:00:00.000Z</x:v>
      </x:c>
      <x:c r="F151" s="10" t="n">
        <x:v>18578000000</x:v>
      </x:c>
      <x:c r="G151" s="2" t="str">
        <x:v>USD</x:v>
      </x:c>
      <x:c r="H151" s="2" t="n">
        <x:v>69</x:v>
      </x:c>
      <x:c r="I151" s="2" t="str">
        <x:v>0001141391-26-000013</x:v>
      </x:c>
      <x:c r="J151" s="2" t="str">
        <x:v>Mastercard FY2025 annual report, PDF p69</x:v>
      </x:c>
      <x:c r="K151" s="2" t="str">
        <x:f>A151&amp;"|"&amp;B151&amp;"|"&amp;C151</x:f>
        <x:v>mastercard|2025|pretax_income</x:v>
      </x:c>
      <x:c r="L151" s="2"/>
      <x:c r="M151" s="2" t="str">
        <x:f>_xlfn.XLOOKUP(I151,$I$169:$I$174,$M$169:$M$174,"n.a.",0)</x:f>
        <x:v>https://s25.q4cdn.com/479285134/files/doc_financials/2025/q4/MA-12-31-2025-10-K-as-filed-with-standard-exhibits.pdf</x:v>
      </x:c>
      <x:c r="N151" s="2"/>
    </x:row>
    <x:row r="152" ht="23" customHeight="1">
      <x:c r="A152" s="2" t="str">
        <x:v>mastercard</x:v>
      </x:c>
      <x:c r="B152" s="2" t="n">
        <x:v>2025</x:v>
      </x:c>
      <x:c r="C152" s="2" t="str">
        <x:v>income_tax</x:v>
      </x:c>
      <x:c r="D152" s="7" t="d">
        <x:v>2025-01-01T00:00:00.000Z</x:v>
      </x:c>
      <x:c r="E152" s="7" t="d">
        <x:v>2025-12-31T00:00:00.000Z</x:v>
      </x:c>
      <x:c r="F152" s="10" t="n">
        <x:v>3610000000</x:v>
      </x:c>
      <x:c r="G152" s="2" t="str">
        <x:v>USD</x:v>
      </x:c>
      <x:c r="H152" s="2" t="n">
        <x:v>69</x:v>
      </x:c>
      <x:c r="I152" s="2" t="str">
        <x:v>0001141391-26-000013</x:v>
      </x:c>
      <x:c r="J152" s="2" t="str">
        <x:v>Mastercard FY2025 annual report, PDF p69</x:v>
      </x:c>
      <x:c r="K152" s="2" t="str">
        <x:f>A152&amp;"|"&amp;B152&amp;"|"&amp;C152</x:f>
        <x:v>mastercard|2025|income_tax</x:v>
      </x:c>
      <x:c r="L152" s="2"/>
      <x:c r="M152" s="2" t="str">
        <x:f>_xlfn.XLOOKUP(I152,$I$169:$I$174,$M$169:$M$174,"n.a.",0)</x:f>
        <x:v>https://s25.q4cdn.com/479285134/files/doc_financials/2025/q4/MA-12-31-2025-10-K-as-filed-with-standard-exhibits.pdf</x:v>
      </x:c>
      <x:c r="N152" s="2"/>
    </x:row>
    <x:row r="153" ht="23" customHeight="1">
      <x:c r="A153" s="2" t="str">
        <x:v>mastercard</x:v>
      </x:c>
      <x:c r="B153" s="2" t="n">
        <x:v>2025</x:v>
      </x:c>
      <x:c r="C153" s="2" t="str">
        <x:v>net_income</x:v>
      </x:c>
      <x:c r="D153" s="7" t="d">
        <x:v>2025-01-01T00:00:00.000Z</x:v>
      </x:c>
      <x:c r="E153" s="7" t="d">
        <x:v>2025-12-31T00:00:00.000Z</x:v>
      </x:c>
      <x:c r="F153" s="10" t="n">
        <x:v>14968000000</x:v>
      </x:c>
      <x:c r="G153" s="2" t="str">
        <x:v>USD</x:v>
      </x:c>
      <x:c r="H153" s="2" t="n">
        <x:v>69</x:v>
      </x:c>
      <x:c r="I153" s="2" t="str">
        <x:v>0001141391-26-000013</x:v>
      </x:c>
      <x:c r="J153" s="2" t="str">
        <x:v>Mastercard FY2025 annual report, PDF p69</x:v>
      </x:c>
      <x:c r="K153" s="2" t="str">
        <x:f>A153&amp;"|"&amp;B153&amp;"|"&amp;C153</x:f>
        <x:v>mastercard|2025|net_income</x:v>
      </x:c>
      <x:c r="L153" s="2"/>
      <x:c r="M153" s="2" t="str">
        <x:f>_xlfn.XLOOKUP(I153,$I$169:$I$174,$M$169:$M$174,"n.a.",0)</x:f>
        <x:v>https://s25.q4cdn.com/479285134/files/doc_financials/2025/q4/MA-12-31-2025-10-K-as-filed-with-standard-exhibits.pdf</x:v>
      </x:c>
      <x:c r="N153" s="2"/>
    </x:row>
    <x:row r="154" ht="23" customHeight="1">
      <x:c r="A154" s="2" t="str">
        <x:v>mastercard</x:v>
      </x:c>
      <x:c r="B154" s="2" t="n">
        <x:v>2025</x:v>
      </x:c>
      <x:c r="C154" s="2" t="str">
        <x:v>operating_cash_flow</x:v>
      </x:c>
      <x:c r="D154" s="7" t="d">
        <x:v>2025-01-01T00:00:00.000Z</x:v>
      </x:c>
      <x:c r="E154" s="7" t="d">
        <x:v>2025-12-31T00:00:00.000Z</x:v>
      </x:c>
      <x:c r="F154" s="10" t="n">
        <x:v>17648000000</x:v>
      </x:c>
      <x:c r="G154" s="2" t="str">
        <x:v>USD</x:v>
      </x:c>
      <x:c r="H154" s="2" t="n">
        <x:v>74</x:v>
      </x:c>
      <x:c r="I154" s="2" t="str">
        <x:v>0001141391-26-000013</x:v>
      </x:c>
      <x:c r="J154" s="2" t="str">
        <x:v>Mastercard FY2025 annual report, PDF p74</x:v>
      </x:c>
      <x:c r="K154" s="2" t="str">
        <x:f>A154&amp;"|"&amp;B154&amp;"|"&amp;C154</x:f>
        <x:v>mastercard|2025|operating_cash_flow</x:v>
      </x:c>
      <x:c r="L154" s="2"/>
      <x:c r="M154" s="2" t="str">
        <x:f>_xlfn.XLOOKUP(I154,$I$169:$I$174,$M$169:$M$174,"n.a.",0)</x:f>
        <x:v>https://s25.q4cdn.com/479285134/files/doc_financials/2025/q4/MA-12-31-2025-10-K-as-filed-with-standard-exhibits.pdf</x:v>
      </x:c>
      <x:c r="N154" s="2"/>
    </x:row>
    <x:row r="155" ht="23" customHeight="1">
      <x:c r="A155" s="2" t="str">
        <x:v>mastercard</x:v>
      </x:c>
      <x:c r="B155" s="2" t="n">
        <x:v>2025</x:v>
      </x:c>
      <x:c r="C155" s="2" t="str">
        <x:v>capital_payments_primary</x:v>
      </x:c>
      <x:c r="D155" s="7" t="d">
        <x:v>2025-01-01T00:00:00.000Z</x:v>
      </x:c>
      <x:c r="E155" s="7" t="d">
        <x:v>2025-12-31T00:00:00.000Z</x:v>
      </x:c>
      <x:c r="F155" s="10" t="n">
        <x:v>489000000</x:v>
      </x:c>
      <x:c r="G155" s="2" t="str">
        <x:v>USD</x:v>
      </x:c>
      <x:c r="H155" s="2" t="n">
        <x:v>74</x:v>
      </x:c>
      <x:c r="I155" s="2" t="str">
        <x:v>0001141391-26-000013</x:v>
      </x:c>
      <x:c r="J155" s="2" t="str">
        <x:v>Mastercard FY2025 annual report, PDF p74</x:v>
      </x:c>
      <x:c r="K155" s="2" t="str">
        <x:f>A155&amp;"|"&amp;B155&amp;"|"&amp;C155</x:f>
        <x:v>mastercard|2025|capital_payments_primary</x:v>
      </x:c>
      <x:c r="L155" s="2"/>
      <x:c r="M155" s="2" t="str">
        <x:f>_xlfn.XLOOKUP(I155,$I$169:$I$174,$M$169:$M$174,"n.a.",0)</x:f>
        <x:v>https://s25.q4cdn.com/479285134/files/doc_financials/2025/q4/MA-12-31-2025-10-K-as-filed-with-standard-exhibits.pdf</x:v>
      </x:c>
      <x:c r="N155" s="2"/>
    </x:row>
    <x:row r="156" ht="23" customHeight="1">
      <x:c r="A156" s="2" t="str">
        <x:v>mastercard</x:v>
      </x:c>
      <x:c r="B156" s="2" t="n">
        <x:v>2025</x:v>
      </x:c>
      <x:c r="C156" s="2" t="str">
        <x:v>cash_and_cash_equivalents</x:v>
      </x:c>
      <x:c r="D156" s="7"/>
      <x:c r="E156" s="7" t="d">
        <x:v>2025-12-31T00:00:00.000Z</x:v>
      </x:c>
      <x:c r="F156" s="10" t="n">
        <x:v>10566000000</x:v>
      </x:c>
      <x:c r="G156" s="2" t="str">
        <x:v>USD</x:v>
      </x:c>
      <x:c r="H156" s="2" t="n">
        <x:v>71</x:v>
      </x:c>
      <x:c r="I156" s="2" t="str">
        <x:v>0001141391-26-000013</x:v>
      </x:c>
      <x:c r="J156" s="2" t="str">
        <x:v>Mastercard FY2025 annual report, PDF p71</x:v>
      </x:c>
      <x:c r="K156" s="2" t="str">
        <x:f>A156&amp;"|"&amp;B156&amp;"|"&amp;C156</x:f>
        <x:v>mastercard|2025|cash_and_cash_equivalents</x:v>
      </x:c>
      <x:c r="L156" s="2"/>
      <x:c r="M156" s="2" t="str">
        <x:f>_xlfn.XLOOKUP(I156,$I$169:$I$174,$M$169:$M$174,"n.a.",0)</x:f>
        <x:v>https://s25.q4cdn.com/479285134/files/doc_financials/2025/q4/MA-12-31-2025-10-K-as-filed-with-standard-exhibits.pdf</x:v>
      </x:c>
      <x:c r="N156" s="2"/>
    </x:row>
    <x:row r="157" ht="23" customHeight="1">
      <x:c r="A157" s="2" t="str">
        <x:v>mastercard</x:v>
      </x:c>
      <x:c r="B157" s="2" t="n">
        <x:v>2025</x:v>
      </x:c>
      <x:c r="C157" s="2" t="str">
        <x:v>current_debt</x:v>
      </x:c>
      <x:c r="D157" s="7"/>
      <x:c r="E157" s="7" t="d">
        <x:v>2025-12-31T00:00:00.000Z</x:v>
      </x:c>
      <x:c r="F157" s="10" t="n">
        <x:v>749000000</x:v>
      </x:c>
      <x:c r="G157" s="2" t="str">
        <x:v>USD</x:v>
      </x:c>
      <x:c r="H157" s="2" t="n">
        <x:v>71</x:v>
      </x:c>
      <x:c r="I157" s="2" t="str">
        <x:v>0001141391-26-000013</x:v>
      </x:c>
      <x:c r="J157" s="2" t="str">
        <x:v>Mastercard FY2025 annual report, PDF p71</x:v>
      </x:c>
      <x:c r="K157" s="2" t="str">
        <x:f>A157&amp;"|"&amp;B157&amp;"|"&amp;C157</x:f>
        <x:v>mastercard|2025|current_debt</x:v>
      </x:c>
      <x:c r="L157" s="2"/>
      <x:c r="M157" s="2" t="str">
        <x:f>_xlfn.XLOOKUP(I157,$I$169:$I$174,$M$169:$M$174,"n.a.",0)</x:f>
        <x:v>https://s25.q4cdn.com/479285134/files/doc_financials/2025/q4/MA-12-31-2025-10-K-as-filed-with-standard-exhibits.pdf</x:v>
      </x:c>
      <x:c r="N157" s="2"/>
    </x:row>
    <x:row r="158" ht="23" customHeight="1">
      <x:c r="A158" s="2" t="str">
        <x:v>mastercard</x:v>
      </x:c>
      <x:c r="B158" s="2" t="n">
        <x:v>2025</x:v>
      </x:c>
      <x:c r="C158" s="2" t="str">
        <x:v>noncurrent_debt</x:v>
      </x:c>
      <x:c r="D158" s="7"/>
      <x:c r="E158" s="7" t="d">
        <x:v>2025-12-31T00:00:00.000Z</x:v>
      </x:c>
      <x:c r="F158" s="10" t="n">
        <x:v>18251000000</x:v>
      </x:c>
      <x:c r="G158" s="2" t="str">
        <x:v>USD</x:v>
      </x:c>
      <x:c r="H158" s="2" t="n">
        <x:v>71</x:v>
      </x:c>
      <x:c r="I158" s="2" t="str">
        <x:v>0001141391-26-000013</x:v>
      </x:c>
      <x:c r="J158" s="2" t="str">
        <x:v>Mastercard FY2025 annual report, PDF p71</x:v>
      </x:c>
      <x:c r="K158" s="2" t="str">
        <x:f>A158&amp;"|"&amp;B158&amp;"|"&amp;C158</x:f>
        <x:v>mastercard|2025|noncurrent_debt</x:v>
      </x:c>
      <x:c r="L158" s="2"/>
      <x:c r="M158" s="2" t="str">
        <x:f>_xlfn.XLOOKUP(I158,$I$169:$I$174,$M$169:$M$174,"n.a.",0)</x:f>
        <x:v>https://s25.q4cdn.com/479285134/files/doc_financials/2025/q4/MA-12-31-2025-10-K-as-filed-with-standard-exhibits.pdf</x:v>
      </x:c>
      <x:c r="N158" s="2"/>
    </x:row>
    <x:row r="159" ht="23" customHeight="1">
      <x:c r="A159" s="2" t="str">
        <x:v>mastercard</x:v>
      </x:c>
      <x:c r="B159" s="2" t="n">
        <x:v>2025</x:v>
      </x:c>
      <x:c r="C159" s="2" t="str">
        <x:v>total_assets</x:v>
      </x:c>
      <x:c r="D159" s="7"/>
      <x:c r="E159" s="7" t="d">
        <x:v>2025-12-31T00:00:00.000Z</x:v>
      </x:c>
      <x:c r="F159" s="10" t="n">
        <x:v>54157000000</x:v>
      </x:c>
      <x:c r="G159" s="2" t="str">
        <x:v>USD</x:v>
      </x:c>
      <x:c r="H159" s="2" t="n">
        <x:v>71</x:v>
      </x:c>
      <x:c r="I159" s="2" t="str">
        <x:v>0001141391-26-000013</x:v>
      </x:c>
      <x:c r="J159" s="2" t="str">
        <x:v>Mastercard FY2025 annual report, PDF p71</x:v>
      </x:c>
      <x:c r="K159" s="2" t="str">
        <x:f>A159&amp;"|"&amp;B159&amp;"|"&amp;C159</x:f>
        <x:v>mastercard|2025|total_assets</x:v>
      </x:c>
      <x:c r="L159" s="2"/>
      <x:c r="M159" s="2" t="str">
        <x:f>_xlfn.XLOOKUP(I159,$I$169:$I$174,$M$169:$M$174,"n.a.",0)</x:f>
        <x:v>https://s25.q4cdn.com/479285134/files/doc_financials/2025/q4/MA-12-31-2025-10-K-as-filed-with-standard-exhibits.pdf</x:v>
      </x:c>
      <x:c r="N159" s="2"/>
    </x:row>
    <x:row r="160" ht="23" customHeight="1">
      <x:c r="A160" s="2" t="str">
        <x:v>mastercard</x:v>
      </x:c>
      <x:c r="B160" s="2" t="n">
        <x:v>2025</x:v>
      </x:c>
      <x:c r="C160" s="2" t="str">
        <x:v>total_liabilities</x:v>
      </x:c>
      <x:c r="D160" s="7"/>
      <x:c r="E160" s="7" t="d">
        <x:v>2025-12-31T00:00:00.000Z</x:v>
      </x:c>
      <x:c r="F160" s="10" t="n">
        <x:v>46411000000</x:v>
      </x:c>
      <x:c r="G160" s="2" t="str">
        <x:v>USD</x:v>
      </x:c>
      <x:c r="H160" s="2" t="n">
        <x:v>71</x:v>
      </x:c>
      <x:c r="I160" s="2" t="str">
        <x:v>0001141391-26-000013</x:v>
      </x:c>
      <x:c r="J160" s="2" t="str">
        <x:v>Mastercard FY2025 annual report, PDF p71</x:v>
      </x:c>
      <x:c r="K160" s="2" t="str">
        <x:f>A160&amp;"|"&amp;B160&amp;"|"&amp;C160</x:f>
        <x:v>mastercard|2025|total_liabilities</x:v>
      </x:c>
      <x:c r="L160" s="2"/>
      <x:c r="M160" s="2" t="str">
        <x:f>_xlfn.XLOOKUP(I160,$I$169:$I$174,$M$169:$M$174,"n.a.",0)</x:f>
        <x:v>https://s25.q4cdn.com/479285134/files/doc_financials/2025/q4/MA-12-31-2025-10-K-as-filed-with-standard-exhibits.pdf</x:v>
      </x:c>
      <x:c r="N160" s="2"/>
    </x:row>
    <x:row r="161" ht="23" customHeight="1">
      <x:c r="A161" s="2" t="str">
        <x:v>mastercard</x:v>
      </x:c>
      <x:c r="B161" s="2" t="n">
        <x:v>2025</x:v>
      </x:c>
      <x:c r="C161" s="2" t="str">
        <x:v>total_equity</x:v>
      </x:c>
      <x:c r="D161" s="7"/>
      <x:c r="E161" s="7" t="d">
        <x:v>2025-12-31T00:00:00.000Z</x:v>
      </x:c>
      <x:c r="F161" s="10" t="n">
        <x:v>7746000000</x:v>
      </x:c>
      <x:c r="G161" s="2" t="str">
        <x:v>USD</x:v>
      </x:c>
      <x:c r="H161" s="2" t="n">
        <x:v>71</x:v>
      </x:c>
      <x:c r="I161" s="2" t="str">
        <x:v>0001141391-26-000013</x:v>
      </x:c>
      <x:c r="J161" s="2" t="str">
        <x:v>Mastercard FY2025 annual report, PDF p71</x:v>
      </x:c>
      <x:c r="K161" s="2" t="str">
        <x:f>A161&amp;"|"&amp;B161&amp;"|"&amp;C161</x:f>
        <x:v>mastercard|2025|total_equity</x:v>
      </x:c>
      <x:c r="L161" s="2"/>
      <x:c r="M161" s="2" t="str">
        <x:f>_xlfn.XLOOKUP(I161,$I$169:$I$174,$M$169:$M$174,"n.a.",0)</x:f>
        <x:v>https://s25.q4cdn.com/479285134/files/doc_financials/2025/q4/MA-12-31-2025-10-K-as-filed-with-standard-exhibits.pdf</x:v>
      </x:c>
      <x:c r="N161" s="2"/>
    </x:row>
    <x:row r="162" ht="23" customHeight="1">
      <x:c r="A162" s="2" t="str">
        <x:v>mastercard</x:v>
      </x:c>
      <x:c r="B162" s="2" t="n">
        <x:v>2025</x:v>
      </x:c>
      <x:c r="C162" s="2" t="str">
        <x:v>cash_flow_total_end</x:v>
      </x:c>
      <x:c r="D162" s="7"/>
      <x:c r="E162" s="7" t="d">
        <x:v>2025-12-31T00:00:00.000Z</x:v>
      </x:c>
      <x:c r="F162" s="10" t="n">
        <x:v>13248000000</x:v>
      </x:c>
      <x:c r="G162" s="2" t="str">
        <x:v>USD</x:v>
      </x:c>
      <x:c r="H162" s="2" t="n">
        <x:v>74</x:v>
      </x:c>
      <x:c r="I162" s="2" t="str">
        <x:v>0001141391-26-000013</x:v>
      </x:c>
      <x:c r="J162" s="2" t="str">
        <x:v>Mastercard FY2025 annual report, PDF p74</x:v>
      </x:c>
      <x:c r="K162" s="2" t="str">
        <x:f>A162&amp;"|"&amp;B162&amp;"|"&amp;C162</x:f>
        <x:v>mastercard|2025|cash_flow_total_end</x:v>
      </x:c>
      <x:c r="L162" s="2"/>
      <x:c r="M162" s="2" t="str">
        <x:f>_xlfn.XLOOKUP(I162,$I$169:$I$174,$M$169:$M$174,"n.a.",0)</x:f>
        <x:v>https://s25.q4cdn.com/479285134/files/doc_financials/2025/q4/MA-12-31-2025-10-K-as-filed-with-standard-exhibits.pdf</x:v>
      </x:c>
      <x:c r="N162" s="2"/>
    </x:row>
    <x:row r="163" ht="23" customHeight="1">
      <x:c r="A163" s="2" t="str">
        <x:v>mastercard</x:v>
      </x:c>
      <x:c r="B163" s="2" t="n">
        <x:v>2025</x:v>
      </x:c>
      <x:c r="C163" s="2" t="str">
        <x:v>capitalized_software_payments</x:v>
      </x:c>
      <x:c r="D163" s="7" t="d">
        <x:v>2025-01-01T00:00:00.000Z</x:v>
      </x:c>
      <x:c r="E163" s="7" t="d">
        <x:v>2025-12-31T00:00:00.000Z</x:v>
      </x:c>
      <x:c r="F163" s="10" t="n">
        <x:v>726000000</x:v>
      </x:c>
      <x:c r="G163" s="2" t="str">
        <x:v>USD</x:v>
      </x:c>
      <x:c r="H163" s="2" t="n">
        <x:v>74</x:v>
      </x:c>
      <x:c r="I163" s="2" t="str">
        <x:v>0001141391-26-000013</x:v>
      </x:c>
      <x:c r="J163" s="2" t="str">
        <x:v>Mastercard FY2025 annual report, PDF p74</x:v>
      </x:c>
      <x:c r="K163" s="2" t="str">
        <x:f>A163&amp;"|"&amp;B163&amp;"|"&amp;C163</x:f>
        <x:v>mastercard|2025|capitalized_software_payments</x:v>
      </x:c>
      <x:c r="L163" s="2"/>
      <x:c r="M163" s="2" t="str">
        <x:f>_xlfn.XLOOKUP(I163,$I$169:$I$174,$M$169:$M$174,"n.a.",0)</x:f>
        <x:v>https://s25.q4cdn.com/479285134/files/doc_financials/2025/q4/MA-12-31-2025-10-K-as-filed-with-standard-exhibits.pdf</x:v>
      </x:c>
      <x:c r="N163" s="2"/>
    </x:row>
    <x:row r="167" ht="23" customHeight="1">
      <x:c r="I167" s="11" t="str">
        <x:v>Original filing sources</x:v>
      </x:c>
      <x:c r="J167" s="2"/>
      <x:c r="K167" s="2"/>
      <x:c r="L167" s="2"/>
      <x:c r="M167" s="2"/>
      <x:c r="N167" s="2"/>
    </x:row>
    <x:row r="168" ht="27" customHeight="1">
      <x:c r="I168" s="6" t="str">
        <x:v>Filing accession</x:v>
      </x:c>
      <x:c r="J168" s="6" t="str">
        <x:v>Original report</x:v>
      </x:c>
      <x:c r="K168" s="2"/>
      <x:c r="L168" s="2"/>
      <x:c r="M168" s="6" t="str">
        <x:v>Original PDF URL</x:v>
      </x:c>
      <x:c r="N168" s="2"/>
    </x:row>
    <x:row r="169" ht="23" customHeight="1">
      <x:c r="I169" s="2" t="str">
        <x:v>0001403161-23-000099</x:v>
      </x:c>
      <x:c r="J169" s="2" t="str">
        <x:v>Visa FY2023 annual report</x:v>
      </x:c>
      <x:c r="K169" s="2"/>
      <x:c r="L169" s="2"/>
      <x:c r="M169" s="2" t="str">
        <x:v>https://s29.q4cdn.com/385744025/files/doc_downloads/2023/Visa-Inc-Fiscal-2023-Annual-Report.pdf</x:v>
      </x:c>
      <x:c r="N169" s="2"/>
    </x:row>
    <x:row r="170" ht="23" customHeight="1">
      <x:c r="I170" s="2" t="str">
        <x:v>0001403161-21-000060</x:v>
      </x:c>
      <x:c r="J170" s="2" t="str">
        <x:v>Visa FY2021 annual report</x:v>
      </x:c>
      <x:c r="K170" s="2"/>
      <x:c r="L170" s="2"/>
      <x:c r="M170" s="2" t="str">
        <x:v>https://s29.q4cdn.com/385744025/files/doc_downloads/Visa-Inc_-Fiscal-2021-Annual-Report.pdf</x:v>
      </x:c>
      <x:c r="N170" s="2"/>
    </x:row>
    <x:row r="171" ht="23" customHeight="1">
      <x:c r="I171" s="2" t="str">
        <x:v>0001403161-25-000089</x:v>
      </x:c>
      <x:c r="J171" s="2" t="str">
        <x:v>Visa FY2025 annual report</x:v>
      </x:c>
      <x:c r="K171" s="2"/>
      <x:c r="L171" s="2"/>
      <x:c r="M171" s="2" t="str">
        <x:v>https://s29.q4cdn.com/385744025/files/doc_downloads/2025/Visa-Fiscal-2025-Annual-Report.pdf</x:v>
      </x:c>
      <x:c r="N171" s="2"/>
    </x:row>
    <x:row r="172" ht="23" customHeight="1">
      <x:c r="I172" s="2" t="str">
        <x:v>0001141391-24-000022</x:v>
      </x:c>
      <x:c r="J172" s="2" t="str">
        <x:v>Mastercard FY2023 annual report</x:v>
      </x:c>
      <x:c r="K172" s="2"/>
      <x:c r="L172" s="2"/>
      <x:c r="M172" s="2" t="str">
        <x:v>https://s25.q4cdn.com/479285134/files/doc_financials/2023/AR/2023-annual-report.pdf</x:v>
      </x:c>
      <x:c r="N172" s="2"/>
    </x:row>
    <x:row r="173" ht="23" customHeight="1">
      <x:c r="I173" s="2" t="str">
        <x:v>0001141391-22-000023</x:v>
      </x:c>
      <x:c r="J173" s="2" t="str">
        <x:v>Mastercard FY2021 annual report</x:v>
      </x:c>
      <x:c r="K173" s="2"/>
      <x:c r="L173" s="2"/>
      <x:c r="M173" s="2" t="str">
        <x:v>https://s25.q4cdn.com/479285134/files/doc_financials/2021/q4/MA.12.31.2021-10-K-as-filed-Exhibits.pdf</x:v>
      </x:c>
      <x:c r="N173" s="2"/>
    </x:row>
    <x:row r="174" ht="23" customHeight="1">
      <x:c r="I174" s="2" t="str">
        <x:v>0001141391-26-000013</x:v>
      </x:c>
      <x:c r="J174" s="2" t="str">
        <x:v>Mastercard FY2025 annual report</x:v>
      </x:c>
      <x:c r="K174" s="2"/>
      <x:c r="L174" s="2"/>
      <x:c r="M174" s="2" t="str">
        <x:v>https://s25.q4cdn.com/479285134/files/doc_financials/2025/q4/MA-12-31-2025-10-K-as-filed-with-standard-exhibits.pdf</x:v>
      </x:c>
      <x:c r="N174" s="2"/>
    </x:row>
    <x:row r="175" ht="23" customHeight="1">
      <x:c r="I175" s="2"/>
      <x:c r="J175" s="2"/>
      <x:c r="K175" s="2"/>
      <x:c r="L175" s="2"/>
      <x:c r="M175" s="2"/>
      <x:c r="N175" s="2"/>
    </x:row>
  </x:sheetData>
  <x:pageMargins left="0.7" right="0.7" top="0.75" bottom="0.75" header="0.3" footer="0.3"/>
  <x:tableParts count="1">
    <x:tablePart xmlns:r="http://schemas.openxmlformats.org/officeDocument/2006/relationships" r:id="R3743f34a16f14d32"/>
  </x:tableParts>
</x:worksheet>
</file>